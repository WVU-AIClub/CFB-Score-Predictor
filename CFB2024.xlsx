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Scores" sheetId="2" r:id="rId5"/>
    <sheet state="visible" name="Offensive Data" sheetId="3" r:id="rId6"/>
    <sheet state="visible" name="Defensive Data" sheetId="4" r:id="rId7"/>
  </sheets>
  <definedNames/>
  <calcPr/>
  <extLst>
    <ext uri="GoogleSheetsCustomDataVersion2">
      <go:sheetsCustomData xmlns:go="http://customooxmlschemas.google.com/" r:id="rId8" roundtripDataChecksum="OC2Of/yvpOxO5d7rvRvc7bbvIctT3X7IDph58UtIQp4="/>
    </ext>
  </extLst>
</workbook>
</file>

<file path=xl/sharedStrings.xml><?xml version="1.0" encoding="utf-8"?>
<sst xmlns="http://schemas.openxmlformats.org/spreadsheetml/2006/main" count="1364" uniqueCount="331">
  <si>
    <t>GameID</t>
  </si>
  <si>
    <t>OPts(Test)</t>
  </si>
  <si>
    <t>OPassCmp</t>
  </si>
  <si>
    <t>OPassAtt</t>
  </si>
  <si>
    <t>OPassPct</t>
  </si>
  <si>
    <t>OPassYds</t>
  </si>
  <si>
    <t>OPassTD</t>
  </si>
  <si>
    <t>ORushAtt</t>
  </si>
  <si>
    <t>ORushYds</t>
  </si>
  <si>
    <t>ORushAvg</t>
  </si>
  <si>
    <t>ORushTD</t>
  </si>
  <si>
    <t>OTOPlays</t>
  </si>
  <si>
    <t>OTOYds</t>
  </si>
  <si>
    <t>OTOAvg</t>
  </si>
  <si>
    <t>OFDPass</t>
  </si>
  <si>
    <t>OFDRush</t>
  </si>
  <si>
    <t>OFDPen</t>
  </si>
  <si>
    <t>OFDTot</t>
  </si>
  <si>
    <t>OPNo</t>
  </si>
  <si>
    <t>OPYds</t>
  </si>
  <si>
    <t>OTurnFum</t>
  </si>
  <si>
    <t>OTurnInt</t>
  </si>
  <si>
    <t>OTurnTot</t>
  </si>
  <si>
    <t>DPassCmp</t>
  </si>
  <si>
    <t>DPassAtt</t>
  </si>
  <si>
    <t>DPassPct</t>
  </si>
  <si>
    <t>DPassYds</t>
  </si>
  <si>
    <t>DPassTD</t>
  </si>
  <si>
    <t>DRushAtt</t>
  </si>
  <si>
    <t>DRushYds</t>
  </si>
  <si>
    <t>DRushAvg</t>
  </si>
  <si>
    <t>DRushTD</t>
  </si>
  <si>
    <t>DTOPlays</t>
  </si>
  <si>
    <t>DTOYds</t>
  </si>
  <si>
    <t>DTOAvg</t>
  </si>
  <si>
    <t>DFDPass</t>
  </si>
  <si>
    <t>DFDRush</t>
  </si>
  <si>
    <t>DFDPen</t>
  </si>
  <si>
    <t>DFDTot</t>
  </si>
  <si>
    <t>DPNo</t>
  </si>
  <si>
    <t>DPYds</t>
  </si>
  <si>
    <t>DTurnFum</t>
  </si>
  <si>
    <t>DTurnInt</t>
  </si>
  <si>
    <t>DTurnTO</t>
  </si>
  <si>
    <t>Winner</t>
  </si>
  <si>
    <t>Pts</t>
  </si>
  <si>
    <t>Loser</t>
  </si>
  <si>
    <t>Georgia Tech</t>
  </si>
  <si>
    <t>Florida State</t>
  </si>
  <si>
    <t>Montana State</t>
  </si>
  <si>
    <t>New Mexico</t>
  </si>
  <si>
    <t>Southern Methodist</t>
  </si>
  <si>
    <t>Nevada</t>
  </si>
  <si>
    <t>Hawaii</t>
  </si>
  <si>
    <t>Delaware State</t>
  </si>
  <si>
    <t>Alabama-Birmingham</t>
  </si>
  <si>
    <t>Alcorn State</t>
  </si>
  <si>
    <t>Arkansas</t>
  </si>
  <si>
    <t>Arkansas-Pine Bluff</t>
  </si>
  <si>
    <t>Bowling Green</t>
  </si>
  <si>
    <t>Fordham</t>
  </si>
  <si>
    <t>Buffalo</t>
  </si>
  <si>
    <t>Lafayette</t>
  </si>
  <si>
    <t>Central Florida</t>
  </si>
  <si>
    <t>New Hampshire</t>
  </si>
  <si>
    <t>Central Michigan</t>
  </si>
  <si>
    <t>Central Connecticut State</t>
  </si>
  <si>
    <t>Coastal Carolina</t>
  </si>
  <si>
    <t>Jacksonville State</t>
  </si>
  <si>
    <t>Colorado</t>
  </si>
  <si>
    <t>North Dakota State</t>
  </si>
  <si>
    <t>Illinois</t>
  </si>
  <si>
    <t>Eastern Illinois</t>
  </si>
  <si>
    <t>Kansas</t>
  </si>
  <si>
    <t>Lindenwood</t>
  </si>
  <si>
    <t>Louisiana-Monroe</t>
  </si>
  <si>
    <t>Jackson State</t>
  </si>
  <si>
    <t>Missouri</t>
  </si>
  <si>
    <t>Murray State</t>
  </si>
  <si>
    <t>North Carolina</t>
  </si>
  <si>
    <t>Minnesota</t>
  </si>
  <si>
    <t>North Carolina State</t>
  </si>
  <si>
    <t>Western Carolina</t>
  </si>
  <si>
    <t>Rutgers</t>
  </si>
  <si>
    <t>Howard</t>
  </si>
  <si>
    <t>San Jose State</t>
  </si>
  <si>
    <t>Sacramento State</t>
  </si>
  <si>
    <t>Toledo</t>
  </si>
  <si>
    <t>Duquesne</t>
  </si>
  <si>
    <t>Tulane</t>
  </si>
  <si>
    <t>Southeastern Louisiana</t>
  </si>
  <si>
    <t>Tulsa</t>
  </si>
  <si>
    <t>Northwestern State</t>
  </si>
  <si>
    <t>Utah</t>
  </si>
  <si>
    <t>Southern Utah</t>
  </si>
  <si>
    <t>Wake Forest</t>
  </si>
  <si>
    <t>North Carolina A&amp;T</t>
  </si>
  <si>
    <t>Army</t>
  </si>
  <si>
    <t>Lehigh</t>
  </si>
  <si>
    <t>Duke</t>
  </si>
  <si>
    <t>Elon</t>
  </si>
  <si>
    <t>Michigan State</t>
  </si>
  <si>
    <t>Florida Atlantic</t>
  </si>
  <si>
    <t>Oklahoma</t>
  </si>
  <si>
    <t>Temple</t>
  </si>
  <si>
    <t>Texas Christian</t>
  </si>
  <si>
    <t>Stanford</t>
  </si>
  <si>
    <t>Wisconsin</t>
  </si>
  <si>
    <t>Western Michigan</t>
  </si>
  <si>
    <t>Air Force</t>
  </si>
  <si>
    <t>Merrimack</t>
  </si>
  <si>
    <t>Alabama</t>
  </si>
  <si>
    <t>Western Kentucky</t>
  </si>
  <si>
    <t>Appalachian State</t>
  </si>
  <si>
    <t>East Tennessee State</t>
  </si>
  <si>
    <t>Arizona</t>
  </si>
  <si>
    <t>Arizona State</t>
  </si>
  <si>
    <t>Wyoming</t>
  </si>
  <si>
    <t>Arkansas State</t>
  </si>
  <si>
    <t>Central Arkansas</t>
  </si>
  <si>
    <t>Auburn</t>
  </si>
  <si>
    <t>Alabama A&amp;M</t>
  </si>
  <si>
    <t>Baylor</t>
  </si>
  <si>
    <t>Tarleton State</t>
  </si>
  <si>
    <t>Boise State</t>
  </si>
  <si>
    <t>Georgia Southern</t>
  </si>
  <si>
    <t>Brigham Young</t>
  </si>
  <si>
    <t>Southern Illinois</t>
  </si>
  <si>
    <t>California</t>
  </si>
  <si>
    <t>California-Davis</t>
  </si>
  <si>
    <t>Cincinnati</t>
  </si>
  <si>
    <t>Towson</t>
  </si>
  <si>
    <t>East Carolina</t>
  </si>
  <si>
    <t>Norfolk State</t>
  </si>
  <si>
    <t>Eastern Michigan</t>
  </si>
  <si>
    <t>Massachusetts</t>
  </si>
  <si>
    <t>Georgia</t>
  </si>
  <si>
    <t>Clemson</t>
  </si>
  <si>
    <t>Georgia State</t>
  </si>
  <si>
    <t>Indiana</t>
  </si>
  <si>
    <t>Florida International</t>
  </si>
  <si>
    <t>Iowa</t>
  </si>
  <si>
    <t>Illinois State</t>
  </si>
  <si>
    <t>Iowa State</t>
  </si>
  <si>
    <t>North Dakota</t>
  </si>
  <si>
    <t>James Madison</t>
  </si>
  <si>
    <t>Charlotte</t>
  </si>
  <si>
    <t>Kansas State</t>
  </si>
  <si>
    <t>Tennessee-Martin</t>
  </si>
  <si>
    <t>Kentucky</t>
  </si>
  <si>
    <t>Southern Mississippi</t>
  </si>
  <si>
    <t>Liberty</t>
  </si>
  <si>
    <t>Campbell</t>
  </si>
  <si>
    <t>Louisiana</t>
  </si>
  <si>
    <t>Grambling State</t>
  </si>
  <si>
    <t>Louisiana Tech</t>
  </si>
  <si>
    <t>Nicholls State</t>
  </si>
  <si>
    <t>Louisville</t>
  </si>
  <si>
    <t>Austin Peay</t>
  </si>
  <si>
    <t>Marshall</t>
  </si>
  <si>
    <t>Stony Brook</t>
  </si>
  <si>
    <t>Maryland</t>
  </si>
  <si>
    <t>Connecticut</t>
  </si>
  <si>
    <t>Memphis</t>
  </si>
  <si>
    <t>North Alabama</t>
  </si>
  <si>
    <t>Miami (FL)</t>
  </si>
  <si>
    <t>Florida</t>
  </si>
  <si>
    <t>Michigan</t>
  </si>
  <si>
    <t>Fresno State</t>
  </si>
  <si>
    <t>Middle Tennessee State</t>
  </si>
  <si>
    <t>Tennessee Tech</t>
  </si>
  <si>
    <t>Mississippi</t>
  </si>
  <si>
    <t>Furman</t>
  </si>
  <si>
    <t>Mississippi State</t>
  </si>
  <si>
    <t>Eastern Kentucky</t>
  </si>
  <si>
    <t>Navy</t>
  </si>
  <si>
    <t>Bucknell</t>
  </si>
  <si>
    <t>Nebraska</t>
  </si>
  <si>
    <t>Texas-El Paso</t>
  </si>
  <si>
    <t>Troy</t>
  </si>
  <si>
    <t>Nevada-Las Vegas</t>
  </si>
  <si>
    <t>Houston</t>
  </si>
  <si>
    <t>New Mexico State</t>
  </si>
  <si>
    <t>Southeast Missouri State</t>
  </si>
  <si>
    <t>North Texas</t>
  </si>
  <si>
    <t>South Alabama</t>
  </si>
  <si>
    <t>Northern Illinois</t>
  </si>
  <si>
    <t>Western Illinois</t>
  </si>
  <si>
    <t>Northwestern</t>
  </si>
  <si>
    <t>Miami (OH)</t>
  </si>
  <si>
    <t>Notre Dame</t>
  </si>
  <si>
    <t>Texas A&amp;M</t>
  </si>
  <si>
    <t>Ohio State</t>
  </si>
  <si>
    <t>Akron</t>
  </si>
  <si>
    <t>Oklahoma State</t>
  </si>
  <si>
    <t>South Dakota State</t>
  </si>
  <si>
    <t>Oregon</t>
  </si>
  <si>
    <t>Idaho</t>
  </si>
  <si>
    <t>Oregon State</t>
  </si>
  <si>
    <t>Idaho State</t>
  </si>
  <si>
    <t>Penn State</t>
  </si>
  <si>
    <t>West Virginia</t>
  </si>
  <si>
    <t>Pittsburgh</t>
  </si>
  <si>
    <t>Kent State</t>
  </si>
  <si>
    <t>Purdue</t>
  </si>
  <si>
    <t>Indiana State</t>
  </si>
  <si>
    <t>Sam Houston</t>
  </si>
  <si>
    <t>Rice</t>
  </si>
  <si>
    <t>San Diego State</t>
  </si>
  <si>
    <t>Texas A&amp;M-Commerce</t>
  </si>
  <si>
    <t>South Carolina</t>
  </si>
  <si>
    <t>Old Dominion</t>
  </si>
  <si>
    <t>South Florida</t>
  </si>
  <si>
    <t>Bethune-Cookman</t>
  </si>
  <si>
    <t>Houston Baptist</t>
  </si>
  <si>
    <t>Syracuse</t>
  </si>
  <si>
    <t>Ohio</t>
  </si>
  <si>
    <t>Tennessee</t>
  </si>
  <si>
    <t>Chattanooga</t>
  </si>
  <si>
    <t>Texas</t>
  </si>
  <si>
    <t>Colorado State</t>
  </si>
  <si>
    <t>Texas State</t>
  </si>
  <si>
    <t>Lamar</t>
  </si>
  <si>
    <t>Texas Tech</t>
  </si>
  <si>
    <t>Abilene Christian</t>
  </si>
  <si>
    <t>Texas-San Antonio</t>
  </si>
  <si>
    <t>Kennesaw State</t>
  </si>
  <si>
    <t>UCLA</t>
  </si>
  <si>
    <t>Utah State</t>
  </si>
  <si>
    <t>Robert Morris</t>
  </si>
  <si>
    <t>Vanderbilt</t>
  </si>
  <si>
    <t>Virginia Tech</t>
  </si>
  <si>
    <t>Virginia</t>
  </si>
  <si>
    <t>Richmond</t>
  </si>
  <si>
    <t>Washington</t>
  </si>
  <si>
    <t>Weber State</t>
  </si>
  <si>
    <t>Washington State</t>
  </si>
  <si>
    <t>Portland State</t>
  </si>
  <si>
    <t>Southern California</t>
  </si>
  <si>
    <t>Louisiana State</t>
  </si>
  <si>
    <t>Boston College</t>
  </si>
  <si>
    <t>Northern Arizona</t>
  </si>
  <si>
    <t>Ball State</t>
  </si>
  <si>
    <t>Missouri State</t>
  </si>
  <si>
    <t>William &amp; Mary</t>
  </si>
  <si>
    <t>Northern Colorado</t>
  </si>
  <si>
    <t>Samford</t>
  </si>
  <si>
    <t>Gardner-Webb</t>
  </si>
  <si>
    <t>Florida A&amp;M</t>
  </si>
  <si>
    <t>Rhode Island</t>
  </si>
  <si>
    <t>Utah Tech</t>
  </si>
  <si>
    <t>Stephen F. Austin</t>
  </si>
  <si>
    <t>Texas Southern</t>
  </si>
  <si>
    <t>St. Francis (PA)</t>
  </si>
  <si>
    <t>Cal Poly</t>
  </si>
  <si>
    <t>McNeese State</t>
  </si>
  <si>
    <t>Long Island</t>
  </si>
  <si>
    <t>Albany</t>
  </si>
  <si>
    <t>South Dakota</t>
  </si>
  <si>
    <t>Colgate</t>
  </si>
  <si>
    <t>South Carolina State</t>
  </si>
  <si>
    <t>Virginia Military Institute</t>
  </si>
  <si>
    <t>Prairie View A&amp;M</t>
  </si>
  <si>
    <t>Northern Iowa</t>
  </si>
  <si>
    <t>North Carolina Central</t>
  </si>
  <si>
    <t>Morgan State</t>
  </si>
  <si>
    <t> Louisiana State</t>
  </si>
  <si>
    <t> Louisville</t>
  </si>
  <si>
    <t>Villanova</t>
  </si>
  <si>
    <t> Miami (FL)</t>
  </si>
  <si>
    <t> Michigan</t>
  </si>
  <si>
    <t> Southern California</t>
  </si>
  <si>
    <t> Mississippi</t>
  </si>
  <si>
    <t> Missouri</t>
  </si>
  <si>
    <t>Monmouth</t>
  </si>
  <si>
    <t>Eastern Washington</t>
  </si>
  <si>
    <t> Notre Dame</t>
  </si>
  <si>
    <t> Ohio State</t>
  </si>
  <si>
    <t> Penn State</t>
  </si>
  <si>
    <t>Youngstown State</t>
  </si>
  <si>
    <t> Tennessee</t>
  </si>
  <si>
    <t> Oklahoma</t>
  </si>
  <si>
    <t> Texas A&amp;M</t>
  </si>
  <si>
    <t> Utah</t>
  </si>
  <si>
    <t> Oklahoma State</t>
  </si>
  <si>
    <t> Alabama</t>
  </si>
  <si>
    <t> Georgia</t>
  </si>
  <si>
    <t> Boise State</t>
  </si>
  <si>
    <t> Brigham Young</t>
  </si>
  <si>
    <t> Clemson</t>
  </si>
  <si>
    <t>Wagner</t>
  </si>
  <si>
    <t> Iowa State</t>
  </si>
  <si>
    <t> Kansas State</t>
  </si>
  <si>
    <t> Oregon</t>
  </si>
  <si>
    <t> Illinois</t>
  </si>
  <si>
    <t>Holy Cross</t>
  </si>
  <si>
    <t> Nevada-Las Vegas</t>
  </si>
  <si>
    <t> Indiana</t>
  </si>
  <si>
    <t> Pittsburgh</t>
  </si>
  <si>
    <t> Texas</t>
  </si>
  <si>
    <t> Army</t>
  </si>
  <si>
    <t> Navy</t>
  </si>
  <si>
    <t>School</t>
  </si>
  <si>
    <t>G</t>
  </si>
  <si>
    <t>Cmp</t>
  </si>
  <si>
    <t>Att</t>
  </si>
  <si>
    <t>Pct</t>
  </si>
  <si>
    <t>Yds</t>
  </si>
  <si>
    <t>TD</t>
  </si>
  <si>
    <t>Avg</t>
  </si>
  <si>
    <t>Plays</t>
  </si>
  <si>
    <t>Pass</t>
  </si>
  <si>
    <t>Rush</t>
  </si>
  <si>
    <t>Pen</t>
  </si>
  <si>
    <t>Tot</t>
  </si>
  <si>
    <t>No.</t>
  </si>
  <si>
    <t>Fum</t>
  </si>
  <si>
    <t>Int</t>
  </si>
  <si>
    <t>Ole Miss</t>
  </si>
  <si>
    <t>SMU</t>
  </si>
  <si>
    <t>UNLV</t>
  </si>
  <si>
    <t>TCU</t>
  </si>
  <si>
    <t>UTSA</t>
  </si>
  <si>
    <t>Pitt</t>
  </si>
  <si>
    <t>LSU</t>
  </si>
  <si>
    <t>UCF</t>
  </si>
  <si>
    <t>USC</t>
  </si>
  <si>
    <t>Bowling Green State</t>
  </si>
  <si>
    <t>UAB</t>
  </si>
  <si>
    <t>UTEP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</si>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</sst>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Play"/>
    </font>
    <font>
      <sz val="11.0"/>
      <color theme="1"/>
      <name val="Aptos Narrow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75"/>
    <col customWidth="1" min="2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 ht="15.75" customHeight="1">
      <c r="A2" s="1" t="str">
        <f>CONCATENATE(Scores!A2,"+++",Scores!C2)</f>
        <v>Georgia Tech+++Florida State</v>
      </c>
      <c r="B2" s="1">
        <f>Scores!B2</f>
        <v>24</v>
      </c>
      <c r="C2" s="1">
        <f t="array" ref="C2:W2">XLOOKUP(LEFT(A2,SEARCH("+",A2)-1),'Offensive Data'!$A$2:$A$134,'Offensive Data'!$D$2:$X$134)</f>
        <v>20.7</v>
      </c>
      <c r="D2" s="1">
        <v>31.7</v>
      </c>
      <c r="E2" s="1">
        <v>65.3</v>
      </c>
      <c r="F2" s="1">
        <v>237.5</v>
      </c>
      <c r="G2" s="1">
        <v>1.3</v>
      </c>
      <c r="H2" s="1">
        <v>37.8</v>
      </c>
      <c r="I2" s="1">
        <v>187.0</v>
      </c>
      <c r="J2" s="1">
        <v>5.0</v>
      </c>
      <c r="K2" s="1">
        <v>2.2</v>
      </c>
      <c r="L2" s="1">
        <v>69.5</v>
      </c>
      <c r="M2" s="1">
        <v>424.5</v>
      </c>
      <c r="N2" s="1">
        <v>6.1</v>
      </c>
      <c r="O2" s="1">
        <v>10.6</v>
      </c>
      <c r="P2" s="1">
        <v>9.7</v>
      </c>
      <c r="Q2" s="1">
        <v>1.3</v>
      </c>
      <c r="R2" s="1">
        <v>21.6</v>
      </c>
      <c r="S2" s="1">
        <v>5.4</v>
      </c>
      <c r="T2" s="1">
        <v>43.3</v>
      </c>
      <c r="U2" s="1">
        <v>0.2</v>
      </c>
      <c r="V2" s="1">
        <v>0.5</v>
      </c>
      <c r="W2" s="1">
        <v>0.8</v>
      </c>
      <c r="X2" s="1">
        <f t="array" ref="X2:AR2">XLOOKUP(MID(A2, SEARCH("+++", A2) + 3, LEN(A2)),'Defensive Data'!$A$2:$A$134,'Defensive Data'!$D$2:$X$134)</f>
        <v>17</v>
      </c>
      <c r="Y2" s="1">
        <v>27.2</v>
      </c>
      <c r="Z2" s="1">
        <v>62.6</v>
      </c>
      <c r="AA2" s="1">
        <v>201.3</v>
      </c>
      <c r="AB2" s="1">
        <v>1.3</v>
      </c>
      <c r="AC2" s="1">
        <v>39.8</v>
      </c>
      <c r="AD2" s="1">
        <v>184.7</v>
      </c>
      <c r="AE2" s="1">
        <v>4.6</v>
      </c>
      <c r="AF2" s="1">
        <v>1.8</v>
      </c>
      <c r="AG2" s="1">
        <v>66.9</v>
      </c>
      <c r="AH2" s="1">
        <v>385.9</v>
      </c>
      <c r="AI2" s="1">
        <v>5.8</v>
      </c>
      <c r="AJ2" s="1">
        <v>9.2</v>
      </c>
      <c r="AK2" s="1">
        <v>9.7</v>
      </c>
      <c r="AL2" s="1">
        <v>2.1</v>
      </c>
      <c r="AM2" s="1">
        <v>20.9</v>
      </c>
      <c r="AN2" s="1">
        <v>4.8</v>
      </c>
      <c r="AO2" s="1">
        <v>43.8</v>
      </c>
      <c r="AP2" s="1">
        <v>0.2</v>
      </c>
      <c r="AQ2" s="1">
        <v>0.3</v>
      </c>
      <c r="AR2" s="1">
        <v>0.5</v>
      </c>
    </row>
    <row r="3" ht="15.75" customHeight="1">
      <c r="A3" s="1" t="str">
        <f>CONCATENATE(Scores!A3,"+++",Scores!C3)</f>
        <v>Montana State+++New Mexico</v>
      </c>
      <c r="B3" s="1">
        <f>Scores!B3</f>
        <v>35</v>
      </c>
      <c r="C3" s="1" t="str">
        <f t="array" ref="C3">XLOOKUP(LEFT(A3,SEARCH("+",A3)-1),'Offensive Data'!$A$2:$A$134,'Offensive Data'!$D$2:$X$134)</f>
        <v>#N/A</v>
      </c>
      <c r="X3" s="1">
        <f t="array" ref="X3:AR3">XLOOKUP(MID(A3, SEARCH("+++", A3) + 3, LEN(A3)),'Defensive Data'!$A$2:$A$134,'Defensive Data'!$D$2:$X$134)</f>
        <v>21.3</v>
      </c>
      <c r="Y3" s="1">
        <v>33.0</v>
      </c>
      <c r="Z3" s="1">
        <v>64.6</v>
      </c>
      <c r="AA3" s="1">
        <v>279.2</v>
      </c>
      <c r="AB3" s="1">
        <v>2.5</v>
      </c>
      <c r="AC3" s="1">
        <v>39.3</v>
      </c>
      <c r="AD3" s="1">
        <v>212.9</v>
      </c>
      <c r="AE3" s="1">
        <v>5.4</v>
      </c>
      <c r="AF3" s="1">
        <v>2.3</v>
      </c>
      <c r="AG3" s="1">
        <v>72.3</v>
      </c>
      <c r="AH3" s="1">
        <v>492.1</v>
      </c>
      <c r="AI3" s="1">
        <v>6.8</v>
      </c>
      <c r="AJ3" s="1">
        <v>11.7</v>
      </c>
      <c r="AK3" s="1">
        <v>10.6</v>
      </c>
      <c r="AL3" s="1">
        <v>2.4</v>
      </c>
      <c r="AM3" s="1">
        <v>24.7</v>
      </c>
      <c r="AN3" s="1">
        <v>7.0</v>
      </c>
      <c r="AO3" s="1">
        <v>65.4</v>
      </c>
      <c r="AP3" s="1">
        <v>0.6</v>
      </c>
      <c r="AQ3" s="1">
        <v>0.3</v>
      </c>
      <c r="AR3" s="1">
        <v>0.8</v>
      </c>
    </row>
    <row r="4" ht="15.75" customHeight="1">
      <c r="A4" s="1" t="str">
        <f>CONCATENATE(Scores!A4,"+++",Scores!C4)</f>
        <v>Southern Methodist+++Nevada</v>
      </c>
      <c r="B4" s="1">
        <f>Scores!B4</f>
        <v>29</v>
      </c>
      <c r="C4" s="1" t="str">
        <f t="array" ref="C4">XLOOKUP(LEFT(A4,SEARCH("+",A4)-1),'Offensive Data'!$A$2:$A$134,'Offensive Data'!$D$2:$X$134)</f>
        <v>#N/A</v>
      </c>
      <c r="X4" s="1">
        <f t="array" ref="X4:AR4">XLOOKUP(MID(A4, SEARCH("+++", A4) + 3, LEN(A4)),'Defensive Data'!$A$2:$A$134,'Defensive Data'!$D$2:$X$134)</f>
        <v>16.2</v>
      </c>
      <c r="Y4" s="1">
        <v>26.7</v>
      </c>
      <c r="Z4" s="1">
        <v>60.5</v>
      </c>
      <c r="AA4" s="1">
        <v>198.6</v>
      </c>
      <c r="AB4" s="1">
        <v>1.0</v>
      </c>
      <c r="AC4" s="1">
        <v>38.2</v>
      </c>
      <c r="AD4" s="1">
        <v>192.8</v>
      </c>
      <c r="AE4" s="1">
        <v>5.1</v>
      </c>
      <c r="AF4" s="1">
        <v>2.4</v>
      </c>
      <c r="AG4" s="1">
        <v>64.8</v>
      </c>
      <c r="AH4" s="1">
        <v>391.5</v>
      </c>
      <c r="AI4" s="1">
        <v>6.0</v>
      </c>
      <c r="AJ4" s="1">
        <v>9.7</v>
      </c>
      <c r="AK4" s="1">
        <v>10.4</v>
      </c>
      <c r="AL4" s="1">
        <v>2.8</v>
      </c>
      <c r="AM4" s="1">
        <v>22.8</v>
      </c>
      <c r="AN4" s="1">
        <v>5.4</v>
      </c>
      <c r="AO4" s="1">
        <v>49.2</v>
      </c>
      <c r="AP4" s="1">
        <v>0.2</v>
      </c>
      <c r="AQ4" s="1">
        <v>0.8</v>
      </c>
      <c r="AR4" s="1">
        <v>1.0</v>
      </c>
    </row>
    <row r="5" ht="15.75" customHeight="1">
      <c r="A5" s="1" t="str">
        <f>CONCATENATE(Scores!A5,"+++",Scores!C5)</f>
        <v>Hawaii+++Delaware State</v>
      </c>
      <c r="B5" s="1">
        <f>Scores!B5</f>
        <v>35</v>
      </c>
      <c r="C5" s="1">
        <f t="array" ref="C5:W5">XLOOKUP(LEFT(A5,SEARCH("+",A5)-1),'Offensive Data'!$A$2:$A$134,'Offensive Data'!$D$2:$X$134)</f>
        <v>23.8</v>
      </c>
      <c r="D5" s="1">
        <v>40.0</v>
      </c>
      <c r="E5" s="1">
        <v>59.6</v>
      </c>
      <c r="F5" s="1">
        <v>268.2</v>
      </c>
      <c r="G5" s="1">
        <v>2.1</v>
      </c>
      <c r="H5" s="1">
        <v>28.3</v>
      </c>
      <c r="I5" s="1">
        <v>97.7</v>
      </c>
      <c r="J5" s="1">
        <v>3.4</v>
      </c>
      <c r="K5" s="1">
        <v>0.6</v>
      </c>
      <c r="L5" s="1">
        <v>68.3</v>
      </c>
      <c r="M5" s="1">
        <v>365.8</v>
      </c>
      <c r="N5" s="1">
        <v>5.4</v>
      </c>
      <c r="O5" s="1">
        <v>12.5</v>
      </c>
      <c r="P5" s="1">
        <v>5.9</v>
      </c>
      <c r="Q5" s="1">
        <v>2.3</v>
      </c>
      <c r="R5" s="1">
        <v>20.8</v>
      </c>
      <c r="S5" s="1">
        <v>8.0</v>
      </c>
      <c r="T5" s="1">
        <v>70.3</v>
      </c>
      <c r="U5" s="1">
        <v>0.3</v>
      </c>
      <c r="V5" s="1">
        <v>1.3</v>
      </c>
      <c r="W5" s="1">
        <v>1.6</v>
      </c>
      <c r="X5" s="1" t="str">
        <f t="array" ref="X5">XLOOKUP(MID(A5, SEARCH("+++", A5) + 3, LEN(A5)),'Defensive Data'!$A$2:$A$134,'Defensive Data'!$D$2:$X$134)</f>
        <v>#N/A</v>
      </c>
    </row>
    <row r="6" ht="15.75" customHeight="1">
      <c r="A6" s="1" t="str">
        <f>CONCATENATE(Scores!A6,"+++",Scores!C6)</f>
        <v>Alabama-Birmingham+++Alcorn State</v>
      </c>
      <c r="B6" s="1">
        <f>Scores!B6</f>
        <v>41</v>
      </c>
      <c r="C6" s="1" t="str">
        <f t="array" ref="C6">XLOOKUP(LEFT(A6,SEARCH("+",A6)-1),'Offensive Data'!$A$2:$A$134,'Offensive Data'!$D$2:$X$134)</f>
        <v>#N/A</v>
      </c>
      <c r="X6" s="1" t="str">
        <f t="array" ref="X6">XLOOKUP(MID(A6, SEARCH("+++", A6) + 3, LEN(A6)),'Defensive Data'!$A$2:$A$134,'Defensive Data'!$D$2:$X$134)</f>
        <v>#N/A</v>
      </c>
    </row>
    <row r="7" ht="15.75" customHeight="1">
      <c r="A7" s="1" t="str">
        <f>CONCATENATE(Scores!A7,"+++",Scores!C7)</f>
        <v>Arkansas+++Arkansas-Pine Bluff</v>
      </c>
      <c r="B7" s="1">
        <f>Scores!B7</f>
        <v>70</v>
      </c>
      <c r="C7" s="1">
        <f t="array" ref="C7:W7">XLOOKUP(LEFT(A7,SEARCH("+",A7)-1),'Offensive Data'!$A$2:$A$134,'Offensive Data'!$D$2:$X$134)</f>
        <v>19.6</v>
      </c>
      <c r="D7" s="1">
        <v>31.8</v>
      </c>
      <c r="E7" s="1">
        <v>61.6</v>
      </c>
      <c r="F7" s="1">
        <v>274.7</v>
      </c>
      <c r="G7" s="1">
        <v>1.2</v>
      </c>
      <c r="H7" s="1">
        <v>38.0</v>
      </c>
      <c r="I7" s="1">
        <v>184.8</v>
      </c>
      <c r="J7" s="1">
        <v>4.9</v>
      </c>
      <c r="K7" s="1">
        <v>2.6</v>
      </c>
      <c r="L7" s="1">
        <v>69.8</v>
      </c>
      <c r="M7" s="1">
        <v>459.5</v>
      </c>
      <c r="N7" s="1">
        <v>6.6</v>
      </c>
      <c r="O7" s="1">
        <v>11.5</v>
      </c>
      <c r="P7" s="1">
        <v>11.5</v>
      </c>
      <c r="Q7" s="1">
        <v>1.2</v>
      </c>
      <c r="R7" s="1">
        <v>24.2</v>
      </c>
      <c r="S7" s="1">
        <v>7.2</v>
      </c>
      <c r="T7" s="1">
        <v>59.8</v>
      </c>
      <c r="U7" s="1">
        <v>1.1</v>
      </c>
      <c r="V7" s="1">
        <v>0.7</v>
      </c>
      <c r="W7" s="1">
        <v>1.8</v>
      </c>
      <c r="X7" s="1" t="str">
        <f t="array" ref="X7">XLOOKUP(MID(A7, SEARCH("+++", A7) + 3, LEN(A7)),'Defensive Data'!$A$2:$A$134,'Defensive Data'!$D$2:$X$134)</f>
        <v>#N/A</v>
      </c>
    </row>
    <row r="8" ht="15.75" customHeight="1">
      <c r="A8" s="1" t="str">
        <f>CONCATENATE(Scores!A8,"+++",Scores!C8)</f>
        <v>Bowling Green+++Fordham</v>
      </c>
      <c r="B8" s="1">
        <f>Scores!B8</f>
        <v>41</v>
      </c>
      <c r="C8" s="1" t="str">
        <f t="array" ref="C8">XLOOKUP(LEFT(A8,SEARCH("+",A8)-1),'Offensive Data'!$A$2:$A$134,'Offensive Data'!$D$2:$X$134)</f>
        <v>#N/A</v>
      </c>
      <c r="X8" s="1" t="str">
        <f t="array" ref="X8">XLOOKUP(MID(A8, SEARCH("+++", A8) + 3, LEN(A8)),'Defensive Data'!$A$2:$A$134,'Defensive Data'!$D$2:$X$134)</f>
        <v>#N/A</v>
      </c>
    </row>
    <row r="9" ht="15.75" customHeight="1">
      <c r="A9" s="1" t="str">
        <f>CONCATENATE(Scores!A9,"+++",Scores!C9)</f>
        <v>Buffalo+++Lafayette</v>
      </c>
      <c r="B9" s="1">
        <f>Scores!B9</f>
        <v>30</v>
      </c>
      <c r="C9" s="1">
        <f t="array" ref="C9:W9">XLOOKUP(LEFT(A9,SEARCH("+",A9)-1),'Offensive Data'!$A$2:$A$134,'Offensive Data'!$D$2:$X$134)</f>
        <v>14.9</v>
      </c>
      <c r="D9" s="1">
        <v>26.7</v>
      </c>
      <c r="E9" s="1">
        <v>55.9</v>
      </c>
      <c r="F9" s="1">
        <v>186.3</v>
      </c>
      <c r="G9" s="1">
        <v>1.5</v>
      </c>
      <c r="H9" s="1">
        <v>41.0</v>
      </c>
      <c r="I9" s="1">
        <v>169.1</v>
      </c>
      <c r="J9" s="1">
        <v>4.1</v>
      </c>
      <c r="K9" s="1">
        <v>1.8</v>
      </c>
      <c r="L9" s="1">
        <v>67.7</v>
      </c>
      <c r="M9" s="1">
        <v>355.4</v>
      </c>
      <c r="N9" s="1">
        <v>5.3</v>
      </c>
      <c r="O9" s="1">
        <v>7.9</v>
      </c>
      <c r="P9" s="1">
        <v>9.2</v>
      </c>
      <c r="Q9" s="1">
        <v>1.4</v>
      </c>
      <c r="R9" s="1">
        <v>18.5</v>
      </c>
      <c r="S9" s="1">
        <v>4.5</v>
      </c>
      <c r="T9" s="1">
        <v>43.4</v>
      </c>
      <c r="U9" s="1">
        <v>0.5</v>
      </c>
      <c r="V9" s="1">
        <v>0.5</v>
      </c>
      <c r="W9" s="1">
        <v>1.0</v>
      </c>
      <c r="X9" s="1" t="str">
        <f t="array" ref="X9">XLOOKUP(MID(A9, SEARCH("+++", A9) + 3, LEN(A9)),'Defensive Data'!$A$2:$A$134,'Defensive Data'!$D$2:$X$134)</f>
        <v>#N/A</v>
      </c>
    </row>
    <row r="10" ht="15.75" customHeight="1">
      <c r="A10" s="1" t="str">
        <f>CONCATENATE(Scores!A10,"+++",Scores!C10)</f>
        <v>Central Florida+++New Hampshire</v>
      </c>
      <c r="B10" s="1">
        <f>Scores!B10</f>
        <v>57</v>
      </c>
      <c r="C10" s="1" t="str">
        <f t="array" ref="C10">XLOOKUP(LEFT(A10,SEARCH("+",A10)-1),'Offensive Data'!$A$2:$A$134,'Offensive Data'!$D$2:$X$134)</f>
        <v>#N/A</v>
      </c>
      <c r="X10" s="1" t="str">
        <f t="array" ref="X10">XLOOKUP(MID(A10, SEARCH("+++", A10) + 3, LEN(A10)),'Defensive Data'!$A$2:$A$134,'Defensive Data'!$D$2:$X$134)</f>
        <v>#N/A</v>
      </c>
    </row>
    <row r="11" ht="15.75" customHeight="1">
      <c r="A11" s="1" t="str">
        <f>CONCATENATE(Scores!A11,"+++",Scores!C11)</f>
        <v>Central Michigan+++Central Connecticut State</v>
      </c>
      <c r="B11" s="1">
        <f>Scores!B11</f>
        <v>66</v>
      </c>
      <c r="C11" s="1">
        <f t="array" ref="C11:W11">XLOOKUP(LEFT(A11,SEARCH("+",A11)-1),'Offensive Data'!$A$2:$A$134,'Offensive Data'!$D$2:$X$134)</f>
        <v>13.9</v>
      </c>
      <c r="D11" s="1">
        <v>25.2</v>
      </c>
      <c r="E11" s="1">
        <v>55.3</v>
      </c>
      <c r="F11" s="1">
        <v>163.4</v>
      </c>
      <c r="G11" s="1">
        <v>0.9</v>
      </c>
      <c r="H11" s="1">
        <v>37.3</v>
      </c>
      <c r="I11" s="1">
        <v>166.1</v>
      </c>
      <c r="J11" s="1">
        <v>4.5</v>
      </c>
      <c r="K11" s="1">
        <v>1.4</v>
      </c>
      <c r="L11" s="1">
        <v>62.4</v>
      </c>
      <c r="M11" s="1">
        <v>329.5</v>
      </c>
      <c r="N11" s="1">
        <v>5.3</v>
      </c>
      <c r="O11" s="1">
        <v>6.9</v>
      </c>
      <c r="P11" s="1">
        <v>8.8</v>
      </c>
      <c r="Q11" s="1">
        <v>2.3</v>
      </c>
      <c r="R11" s="1">
        <v>18.0</v>
      </c>
      <c r="S11" s="1">
        <v>6.8</v>
      </c>
      <c r="T11" s="1">
        <v>60.9</v>
      </c>
      <c r="U11" s="1">
        <v>0.8</v>
      </c>
      <c r="V11" s="1">
        <v>1.0</v>
      </c>
      <c r="W11" s="1">
        <v>1.8</v>
      </c>
      <c r="X11" s="1" t="str">
        <f t="array" ref="X11">XLOOKUP(MID(A11, SEARCH("+++", A11) + 3, LEN(A11)),'Defensive Data'!$A$2:$A$134,'Defensive Data'!$D$2:$X$134)</f>
        <v>#N/A</v>
      </c>
    </row>
    <row r="12" ht="15.75" customHeight="1">
      <c r="A12" s="1" t="str">
        <f>CONCATENATE(Scores!A12,"+++",Scores!C12)</f>
        <v>Coastal Carolina+++Jacksonville State</v>
      </c>
      <c r="B12" s="1">
        <f>Scores!B12</f>
        <v>55</v>
      </c>
      <c r="C12" s="1">
        <f t="array" ref="C12:W12">XLOOKUP(LEFT(A12,SEARCH("+",A12)-1),'Offensive Data'!$A$2:$A$134,'Offensive Data'!$D$2:$X$134)</f>
        <v>15</v>
      </c>
      <c r="D12" s="1">
        <v>27.6</v>
      </c>
      <c r="E12" s="1">
        <v>54.3</v>
      </c>
      <c r="F12" s="1">
        <v>202.0</v>
      </c>
      <c r="G12" s="1">
        <v>1.5</v>
      </c>
      <c r="H12" s="1">
        <v>37.2</v>
      </c>
      <c r="I12" s="1">
        <v>172.5</v>
      </c>
      <c r="J12" s="1">
        <v>4.6</v>
      </c>
      <c r="K12" s="1">
        <v>1.6</v>
      </c>
      <c r="L12" s="1">
        <v>64.8</v>
      </c>
      <c r="M12" s="1">
        <v>374.5</v>
      </c>
      <c r="N12" s="1">
        <v>5.8</v>
      </c>
      <c r="O12" s="1">
        <v>7.9</v>
      </c>
      <c r="P12" s="1">
        <v>8.4</v>
      </c>
      <c r="Q12" s="1">
        <v>1.8</v>
      </c>
      <c r="R12" s="1">
        <v>18.1</v>
      </c>
      <c r="S12" s="1">
        <v>6.9</v>
      </c>
      <c r="T12" s="1">
        <v>63.8</v>
      </c>
      <c r="U12" s="1">
        <v>0.5</v>
      </c>
      <c r="V12" s="1">
        <v>0.8</v>
      </c>
      <c r="W12" s="1">
        <v>1.3</v>
      </c>
      <c r="X12" s="1">
        <f t="array" ref="X12:AR12">XLOOKUP(MID(A12, SEARCH("+++", A12) + 3, LEN(A12)),'Defensive Data'!$A$2:$A$134,'Defensive Data'!$D$2:$X$134)</f>
        <v>17.6</v>
      </c>
      <c r="Y12" s="1">
        <v>29.3</v>
      </c>
      <c r="Z12" s="1">
        <v>60.2</v>
      </c>
      <c r="AA12" s="1">
        <v>218.2</v>
      </c>
      <c r="AB12" s="1">
        <v>1.5</v>
      </c>
      <c r="AC12" s="1">
        <v>41.0</v>
      </c>
      <c r="AD12" s="1">
        <v>174.8</v>
      </c>
      <c r="AE12" s="1">
        <v>4.3</v>
      </c>
      <c r="AF12" s="1">
        <v>1.5</v>
      </c>
      <c r="AG12" s="1">
        <v>70.3</v>
      </c>
      <c r="AH12" s="1">
        <v>393.0</v>
      </c>
      <c r="AI12" s="1">
        <v>5.6</v>
      </c>
      <c r="AJ12" s="1">
        <v>10.1</v>
      </c>
      <c r="AK12" s="1">
        <v>9.1</v>
      </c>
      <c r="AL12" s="1">
        <v>2.5</v>
      </c>
      <c r="AM12" s="1">
        <v>21.7</v>
      </c>
      <c r="AN12" s="1">
        <v>6.1</v>
      </c>
      <c r="AO12" s="1">
        <v>56.9</v>
      </c>
      <c r="AP12" s="1">
        <v>0.9</v>
      </c>
      <c r="AQ12" s="1">
        <v>0.9</v>
      </c>
      <c r="AR12" s="1">
        <v>1.7</v>
      </c>
    </row>
    <row r="13" ht="15.75" customHeight="1">
      <c r="A13" s="1" t="str">
        <f>CONCATENATE(Scores!A13,"+++",Scores!C13)</f>
        <v>Colorado+++North Dakota State</v>
      </c>
      <c r="B13" s="1">
        <f>Scores!B13</f>
        <v>31</v>
      </c>
      <c r="C13" s="1">
        <f t="array" ref="C13:W13">XLOOKUP(LEFT(A13,SEARCH("+",A13)-1),'Offensive Data'!$A$2:$A$134,'Offensive Data'!$D$2:$X$134)</f>
        <v>27.2</v>
      </c>
      <c r="D13" s="1">
        <v>37.1</v>
      </c>
      <c r="E13" s="1">
        <v>73.2</v>
      </c>
      <c r="F13" s="1">
        <v>318.0</v>
      </c>
      <c r="G13" s="1">
        <v>2.8</v>
      </c>
      <c r="H13" s="1">
        <v>26.2</v>
      </c>
      <c r="I13" s="1">
        <v>65.2</v>
      </c>
      <c r="J13" s="1">
        <v>2.5</v>
      </c>
      <c r="K13" s="1">
        <v>1.2</v>
      </c>
      <c r="L13" s="1">
        <v>63.3</v>
      </c>
      <c r="M13" s="1">
        <v>383.2</v>
      </c>
      <c r="N13" s="1">
        <v>6.1</v>
      </c>
      <c r="O13" s="1">
        <v>13.2</v>
      </c>
      <c r="P13" s="1">
        <v>4.8</v>
      </c>
      <c r="Q13" s="1">
        <v>2.4</v>
      </c>
      <c r="R13" s="1">
        <v>20.4</v>
      </c>
      <c r="S13" s="1">
        <v>7.7</v>
      </c>
      <c r="T13" s="1">
        <v>67.8</v>
      </c>
      <c r="U13" s="1">
        <v>0.4</v>
      </c>
      <c r="V13" s="1">
        <v>0.8</v>
      </c>
      <c r="W13" s="1">
        <v>1.2</v>
      </c>
      <c r="X13" s="1" t="str">
        <f t="array" ref="X13">XLOOKUP(MID(A13, SEARCH("+++", A13) + 3, LEN(A13)),'Defensive Data'!$A$2:$A$134,'Defensive Data'!$D$2:$X$134)</f>
        <v>#N/A</v>
      </c>
    </row>
    <row r="14" ht="15.75" customHeight="1">
      <c r="A14" s="1" t="str">
        <f>CONCATENATE(Scores!A14,"+++",Scores!C14)</f>
        <v>Illinois+++Eastern Illinois</v>
      </c>
      <c r="B14" s="1">
        <f>Scores!B14</f>
        <v>45</v>
      </c>
      <c r="C14" s="1">
        <f t="array" ref="C14:W14">XLOOKUP(LEFT(A14,SEARCH("+",A14)-1),'Offensive Data'!$A$2:$A$134,'Offensive Data'!$D$2:$X$134)</f>
        <v>16.4</v>
      </c>
      <c r="D14" s="1">
        <v>27.2</v>
      </c>
      <c r="E14" s="1">
        <v>60.3</v>
      </c>
      <c r="F14" s="1">
        <v>211.2</v>
      </c>
      <c r="G14" s="1">
        <v>1.7</v>
      </c>
      <c r="H14" s="1">
        <v>34.8</v>
      </c>
      <c r="I14" s="1">
        <v>153.6</v>
      </c>
      <c r="J14" s="1">
        <v>4.4</v>
      </c>
      <c r="K14" s="1">
        <v>1.7</v>
      </c>
      <c r="L14" s="1">
        <v>61.9</v>
      </c>
      <c r="M14" s="1">
        <v>364.8</v>
      </c>
      <c r="N14" s="1">
        <v>5.9</v>
      </c>
      <c r="O14" s="1">
        <v>9.8</v>
      </c>
      <c r="P14" s="1">
        <v>8.5</v>
      </c>
      <c r="Q14" s="1">
        <v>2.2</v>
      </c>
      <c r="R14" s="1">
        <v>20.4</v>
      </c>
      <c r="S14" s="1">
        <v>5.2</v>
      </c>
      <c r="T14" s="1">
        <v>40.2</v>
      </c>
      <c r="U14" s="1">
        <v>0.6</v>
      </c>
      <c r="V14" s="1">
        <v>0.5</v>
      </c>
      <c r="W14" s="1">
        <v>1.1</v>
      </c>
      <c r="X14" s="1" t="str">
        <f t="array" ref="X14">XLOOKUP(MID(A14, SEARCH("+++", A14) + 3, LEN(A14)),'Defensive Data'!$A$2:$A$134,'Defensive Data'!$D$2:$X$134)</f>
        <v>#N/A</v>
      </c>
    </row>
    <row r="15" ht="15.75" customHeight="1">
      <c r="A15" s="1" t="str">
        <f>CONCATENATE(Scores!A15,"+++",Scores!C15)</f>
        <v>Kansas+++Lindenwood</v>
      </c>
      <c r="B15" s="1">
        <f>Scores!B15</f>
        <v>48</v>
      </c>
      <c r="C15" s="1">
        <f t="array" ref="C15:W15">XLOOKUP(LEFT(A15,SEARCH("+",A15)-1),'Offensive Data'!$A$2:$A$134,'Offensive Data'!$D$2:$X$134)</f>
        <v>14.7</v>
      </c>
      <c r="D15" s="1">
        <v>25.5</v>
      </c>
      <c r="E15" s="1">
        <v>57.5</v>
      </c>
      <c r="F15" s="1">
        <v>208.8</v>
      </c>
      <c r="G15" s="1">
        <v>1.3</v>
      </c>
      <c r="H15" s="1">
        <v>38.3</v>
      </c>
      <c r="I15" s="1">
        <v>211.4</v>
      </c>
      <c r="J15" s="1">
        <v>5.5</v>
      </c>
      <c r="K15" s="1">
        <v>2.4</v>
      </c>
      <c r="L15" s="1">
        <v>63.8</v>
      </c>
      <c r="M15" s="1">
        <v>420.2</v>
      </c>
      <c r="N15" s="1">
        <v>6.6</v>
      </c>
      <c r="O15" s="1">
        <v>9.0</v>
      </c>
      <c r="P15" s="1">
        <v>11.1</v>
      </c>
      <c r="Q15" s="1">
        <v>1.4</v>
      </c>
      <c r="R15" s="1">
        <v>21.5</v>
      </c>
      <c r="S15" s="1">
        <v>4.5</v>
      </c>
      <c r="T15" s="1">
        <v>38.7</v>
      </c>
      <c r="U15" s="1">
        <v>0.4</v>
      </c>
      <c r="V15" s="1">
        <v>1.0</v>
      </c>
      <c r="W15" s="1">
        <v>1.4</v>
      </c>
      <c r="X15" s="1" t="str">
        <f t="array" ref="X15">XLOOKUP(MID(A15, SEARCH("+++", A15) + 3, LEN(A15)),'Defensive Data'!$A$2:$A$134,'Defensive Data'!$D$2:$X$134)</f>
        <v>#N/A</v>
      </c>
    </row>
    <row r="16" ht="15.75" customHeight="1">
      <c r="A16" s="1" t="str">
        <f>CONCATENATE(Scores!A16,"+++",Scores!C16)</f>
        <v>Louisiana-Monroe+++Jackson State</v>
      </c>
      <c r="B16" s="1">
        <f>Scores!B16</f>
        <v>30</v>
      </c>
      <c r="C16" s="1">
        <f t="array" ref="C16:W16">XLOOKUP(LEFT(A16,SEARCH("+",A16)-1),'Offensive Data'!$A$2:$A$134,'Offensive Data'!$D$2:$X$134)</f>
        <v>11.2</v>
      </c>
      <c r="D16" s="1">
        <v>20.5</v>
      </c>
      <c r="E16" s="1">
        <v>54.5</v>
      </c>
      <c r="F16" s="1">
        <v>134.8</v>
      </c>
      <c r="G16" s="1">
        <v>0.9</v>
      </c>
      <c r="H16" s="1">
        <v>38.0</v>
      </c>
      <c r="I16" s="1">
        <v>169.7</v>
      </c>
      <c r="J16" s="1">
        <v>4.5</v>
      </c>
      <c r="K16" s="1">
        <v>1.4</v>
      </c>
      <c r="L16" s="1">
        <v>58.5</v>
      </c>
      <c r="M16" s="1">
        <v>304.4</v>
      </c>
      <c r="N16" s="1">
        <v>5.2</v>
      </c>
      <c r="O16" s="1">
        <v>5.6</v>
      </c>
      <c r="P16" s="1">
        <v>8.3</v>
      </c>
      <c r="Q16" s="1">
        <v>1.6</v>
      </c>
      <c r="R16" s="1">
        <v>15.4</v>
      </c>
      <c r="S16" s="1">
        <v>5.9</v>
      </c>
      <c r="T16" s="1">
        <v>43.3</v>
      </c>
      <c r="U16" s="1">
        <v>0.3</v>
      </c>
      <c r="V16" s="1">
        <v>1.0</v>
      </c>
      <c r="W16" s="1">
        <v>1.3</v>
      </c>
      <c r="X16" s="1" t="str">
        <f t="array" ref="X16">XLOOKUP(MID(A16, SEARCH("+++", A16) + 3, LEN(A16)),'Defensive Data'!$A$2:$A$134,'Defensive Data'!$D$2:$X$134)</f>
        <v>#N/A</v>
      </c>
    </row>
    <row r="17" ht="15.75" customHeight="1">
      <c r="A17" s="1" t="str">
        <f>CONCATENATE(Scores!A17,"+++",Scores!C17)</f>
        <v>Missouri+++Murray State</v>
      </c>
      <c r="B17" s="1">
        <f>Scores!B17</f>
        <v>51</v>
      </c>
      <c r="C17" s="1">
        <f t="array" ref="C17:W17">XLOOKUP(LEFT(A17,SEARCH("+",A17)-1),'Offensive Data'!$A$2:$A$134,'Offensive Data'!$D$2:$X$134)</f>
        <v>19.2</v>
      </c>
      <c r="D17" s="1">
        <v>31.1</v>
      </c>
      <c r="E17" s="1">
        <v>61.9</v>
      </c>
      <c r="F17" s="1">
        <v>225.1</v>
      </c>
      <c r="G17" s="1">
        <v>1.1</v>
      </c>
      <c r="H17" s="1">
        <v>39.8</v>
      </c>
      <c r="I17" s="1">
        <v>164.5</v>
      </c>
      <c r="J17" s="1">
        <v>4.1</v>
      </c>
      <c r="K17" s="1">
        <v>2.0</v>
      </c>
      <c r="L17" s="1">
        <v>70.9</v>
      </c>
      <c r="M17" s="1">
        <v>389.5</v>
      </c>
      <c r="N17" s="1">
        <v>5.5</v>
      </c>
      <c r="O17" s="1">
        <v>9.2</v>
      </c>
      <c r="P17" s="1">
        <v>10.5</v>
      </c>
      <c r="Q17" s="1">
        <v>1.5</v>
      </c>
      <c r="R17" s="1">
        <v>21.2</v>
      </c>
      <c r="S17" s="1">
        <v>5.6</v>
      </c>
      <c r="T17" s="1">
        <v>50.6</v>
      </c>
      <c r="U17" s="1">
        <v>0.3</v>
      </c>
      <c r="V17" s="1">
        <v>0.4</v>
      </c>
      <c r="W17" s="1">
        <v>0.7</v>
      </c>
      <c r="X17" s="1" t="str">
        <f t="array" ref="X17">XLOOKUP(MID(A17, SEARCH("+++", A17) + 3, LEN(A17)),'Defensive Data'!$A$2:$A$134,'Defensive Data'!$D$2:$X$134)</f>
        <v>#N/A</v>
      </c>
    </row>
    <row r="18" ht="15.75" customHeight="1">
      <c r="A18" s="1" t="str">
        <f>CONCATENATE(Scores!A18,"+++",Scores!C18)</f>
        <v>North Carolina+++Minnesota</v>
      </c>
      <c r="B18" s="1">
        <f>Scores!B18</f>
        <v>19</v>
      </c>
      <c r="C18" s="1">
        <f t="array" ref="C18:W18">XLOOKUP(LEFT(A18,SEARCH("+",A18)-1),'Offensive Data'!$A$2:$A$134,'Offensive Data'!$D$2:$X$134)</f>
        <v>17.7</v>
      </c>
      <c r="D18" s="1">
        <v>30.2</v>
      </c>
      <c r="E18" s="1">
        <v>58.7</v>
      </c>
      <c r="F18" s="1">
        <v>224.4</v>
      </c>
      <c r="G18" s="1">
        <v>1.4</v>
      </c>
      <c r="H18" s="1">
        <v>38.2</v>
      </c>
      <c r="I18" s="1">
        <v>182.3</v>
      </c>
      <c r="J18" s="1">
        <v>4.8</v>
      </c>
      <c r="K18" s="1">
        <v>2.0</v>
      </c>
      <c r="L18" s="1">
        <v>68.3</v>
      </c>
      <c r="M18" s="1">
        <v>406.7</v>
      </c>
      <c r="N18" s="1">
        <v>6.0</v>
      </c>
      <c r="O18" s="1">
        <v>9.4</v>
      </c>
      <c r="P18" s="1">
        <v>9.6</v>
      </c>
      <c r="Q18" s="1">
        <v>2.0</v>
      </c>
      <c r="R18" s="1">
        <v>21.0</v>
      </c>
      <c r="S18" s="1">
        <v>7.5</v>
      </c>
      <c r="T18" s="1">
        <v>64.0</v>
      </c>
      <c r="U18" s="1">
        <v>0.6</v>
      </c>
      <c r="V18" s="1">
        <v>0.7</v>
      </c>
      <c r="W18" s="1">
        <v>1.3</v>
      </c>
      <c r="X18" s="1">
        <f t="array" ref="X18:AR18">XLOOKUP(MID(A18, SEARCH("+++", A18) + 3, LEN(A18)),'Defensive Data'!$A$2:$A$134,'Defensive Data'!$D$2:$X$134)</f>
        <v>16.9</v>
      </c>
      <c r="Y18" s="1">
        <v>28.7</v>
      </c>
      <c r="Z18" s="1">
        <v>59.0</v>
      </c>
      <c r="AA18" s="1">
        <v>176.1</v>
      </c>
      <c r="AB18" s="1">
        <v>0.8</v>
      </c>
      <c r="AC18" s="1">
        <v>31.3</v>
      </c>
      <c r="AD18" s="1">
        <v>109.6</v>
      </c>
      <c r="AE18" s="1">
        <v>3.5</v>
      </c>
      <c r="AF18" s="1">
        <v>1.1</v>
      </c>
      <c r="AG18" s="1">
        <v>60.0</v>
      </c>
      <c r="AH18" s="1">
        <v>285.7</v>
      </c>
      <c r="AI18" s="1">
        <v>4.8</v>
      </c>
      <c r="AJ18" s="1">
        <v>8.5</v>
      </c>
      <c r="AK18" s="1">
        <v>5.9</v>
      </c>
      <c r="AL18" s="1">
        <v>1.5</v>
      </c>
      <c r="AM18" s="1">
        <v>16.0</v>
      </c>
      <c r="AN18" s="1">
        <v>5.0</v>
      </c>
      <c r="AO18" s="1">
        <v>49.1</v>
      </c>
      <c r="AP18" s="1">
        <v>0.3</v>
      </c>
      <c r="AQ18" s="1">
        <v>1.3</v>
      </c>
      <c r="AR18" s="1">
        <v>1.6</v>
      </c>
    </row>
    <row r="19" ht="15.75" customHeight="1">
      <c r="A19" s="1" t="str">
        <f>CONCATENATE(Scores!A19,"+++",Scores!C19)</f>
        <v>North Carolina State+++Western Carolina</v>
      </c>
      <c r="B19" s="1">
        <f>Scores!B19</f>
        <v>38</v>
      </c>
      <c r="C19" s="1">
        <f t="array" ref="C19:W19">XLOOKUP(LEFT(A19,SEARCH("+",A19)-1),'Offensive Data'!$A$2:$A$134,'Offensive Data'!$D$2:$X$134)</f>
        <v>19.6</v>
      </c>
      <c r="D19" s="1">
        <v>30.1</v>
      </c>
      <c r="E19" s="1">
        <v>65.2</v>
      </c>
      <c r="F19" s="1">
        <v>232.6</v>
      </c>
      <c r="G19" s="1">
        <v>1.6</v>
      </c>
      <c r="H19" s="1">
        <v>32.4</v>
      </c>
      <c r="I19" s="1">
        <v>145.2</v>
      </c>
      <c r="J19" s="1">
        <v>4.5</v>
      </c>
      <c r="K19" s="1">
        <v>1.6</v>
      </c>
      <c r="L19" s="1">
        <v>62.5</v>
      </c>
      <c r="M19" s="1">
        <v>377.8</v>
      </c>
      <c r="N19" s="1">
        <v>6.0</v>
      </c>
      <c r="O19" s="1">
        <v>10.5</v>
      </c>
      <c r="P19" s="1">
        <v>7.3</v>
      </c>
      <c r="Q19" s="1">
        <v>2.3</v>
      </c>
      <c r="R19" s="1">
        <v>20.2</v>
      </c>
      <c r="S19" s="1">
        <v>5.1</v>
      </c>
      <c r="T19" s="1">
        <v>47.8</v>
      </c>
      <c r="U19" s="1">
        <v>0.8</v>
      </c>
      <c r="V19" s="1">
        <v>1.0</v>
      </c>
      <c r="W19" s="1">
        <v>1.8</v>
      </c>
      <c r="X19" s="1" t="str">
        <f t="array" ref="X19">XLOOKUP(MID(A19, SEARCH("+++", A19) + 3, LEN(A19)),'Defensive Data'!$A$2:$A$134,'Defensive Data'!$D$2:$X$134)</f>
        <v>#N/A</v>
      </c>
    </row>
    <row r="20" ht="15.75" customHeight="1">
      <c r="A20" s="1" t="str">
        <f>CONCATENATE(Scores!A20,"+++",Scores!C20)</f>
        <v>Rutgers+++Howard</v>
      </c>
      <c r="B20" s="1">
        <f>Scores!B20</f>
        <v>44</v>
      </c>
      <c r="C20" s="1">
        <f t="array" ref="C20:W20">XLOOKUP(LEFT(A20,SEARCH("+",A20)-1),'Offensive Data'!$A$2:$A$134,'Offensive Data'!$D$2:$X$134)</f>
        <v>16.4</v>
      </c>
      <c r="D20" s="1">
        <v>30.4</v>
      </c>
      <c r="E20" s="1">
        <v>53.9</v>
      </c>
      <c r="F20" s="1">
        <v>207.4</v>
      </c>
      <c r="G20" s="1">
        <v>1.4</v>
      </c>
      <c r="H20" s="1">
        <v>39.8</v>
      </c>
      <c r="I20" s="1">
        <v>175.3</v>
      </c>
      <c r="J20" s="1">
        <v>4.4</v>
      </c>
      <c r="K20" s="1">
        <v>2.2</v>
      </c>
      <c r="L20" s="1">
        <v>70.2</v>
      </c>
      <c r="M20" s="1">
        <v>382.7</v>
      </c>
      <c r="N20" s="1">
        <v>5.5</v>
      </c>
      <c r="O20" s="1">
        <v>10.1</v>
      </c>
      <c r="P20" s="1">
        <v>9.9</v>
      </c>
      <c r="Q20" s="1">
        <v>2.5</v>
      </c>
      <c r="R20" s="1">
        <v>22.5</v>
      </c>
      <c r="S20" s="1">
        <v>4.0</v>
      </c>
      <c r="T20" s="1">
        <v>34.2</v>
      </c>
      <c r="U20" s="1">
        <v>0.2</v>
      </c>
      <c r="V20" s="1">
        <v>0.5</v>
      </c>
      <c r="W20" s="1">
        <v>0.7</v>
      </c>
      <c r="X20" s="1" t="str">
        <f t="array" ref="X20">XLOOKUP(MID(A20, SEARCH("+++", A20) + 3, LEN(A20)),'Defensive Data'!$A$2:$A$134,'Defensive Data'!$D$2:$X$134)</f>
        <v>#N/A</v>
      </c>
    </row>
    <row r="21" ht="15.75" customHeight="1">
      <c r="A21" s="1" t="str">
        <f>CONCATENATE(Scores!A21,"+++",Scores!C21)</f>
        <v>San Jose State+++Sacramento State</v>
      </c>
      <c r="B21" s="1">
        <f>Scores!B21</f>
        <v>42</v>
      </c>
      <c r="C21" s="1">
        <f t="array" ref="C21:W21">XLOOKUP(LEFT(A21,SEARCH("+",A21)-1),'Offensive Data'!$A$2:$A$134,'Offensive Data'!$D$2:$X$134)</f>
        <v>24.3</v>
      </c>
      <c r="D21" s="1">
        <v>42.5</v>
      </c>
      <c r="E21" s="1">
        <v>57.2</v>
      </c>
      <c r="F21" s="1">
        <v>321.8</v>
      </c>
      <c r="G21" s="1">
        <v>2.4</v>
      </c>
      <c r="H21" s="1">
        <v>24.9</v>
      </c>
      <c r="I21" s="1">
        <v>88.1</v>
      </c>
      <c r="J21" s="1">
        <v>3.5</v>
      </c>
      <c r="K21" s="1">
        <v>1.0</v>
      </c>
      <c r="L21" s="1">
        <v>67.4</v>
      </c>
      <c r="M21" s="1">
        <v>409.8</v>
      </c>
      <c r="N21" s="1">
        <v>6.1</v>
      </c>
      <c r="O21" s="1">
        <v>13.8</v>
      </c>
      <c r="P21" s="1">
        <v>5.5</v>
      </c>
      <c r="Q21" s="1">
        <v>2.5</v>
      </c>
      <c r="R21" s="1">
        <v>21.8</v>
      </c>
      <c r="S21" s="1">
        <v>7.0</v>
      </c>
      <c r="T21" s="1">
        <v>60.3</v>
      </c>
      <c r="U21" s="1">
        <v>1.0</v>
      </c>
      <c r="V21" s="1">
        <v>1.2</v>
      </c>
      <c r="W21" s="1">
        <v>2.2</v>
      </c>
      <c r="X21" s="1" t="str">
        <f t="array" ref="X21">XLOOKUP(MID(A21, SEARCH("+++", A21) + 3, LEN(A21)),'Defensive Data'!$A$2:$A$134,'Defensive Data'!$D$2:$X$134)</f>
        <v>#N/A</v>
      </c>
    </row>
    <row r="22" ht="15.75" customHeight="1">
      <c r="A22" s="1" t="str">
        <f>CONCATENATE(Scores!A22,"+++",Scores!C22)</f>
        <v>Toledo+++Duquesne</v>
      </c>
      <c r="B22" s="1">
        <f>Scores!B22</f>
        <v>49</v>
      </c>
      <c r="C22" s="1">
        <f t="array" ref="C22:W22">XLOOKUP(LEFT(A22,SEARCH("+",A22)-1),'Offensive Data'!$A$2:$A$134,'Offensive Data'!$D$2:$X$134)</f>
        <v>21.2</v>
      </c>
      <c r="D22" s="1">
        <v>34.8</v>
      </c>
      <c r="E22" s="1">
        <v>60.9</v>
      </c>
      <c r="F22" s="1">
        <v>254.2</v>
      </c>
      <c r="G22" s="1">
        <v>2.2</v>
      </c>
      <c r="H22" s="1">
        <v>33.5</v>
      </c>
      <c r="I22" s="1">
        <v>115.7</v>
      </c>
      <c r="J22" s="1">
        <v>3.4</v>
      </c>
      <c r="K22" s="1">
        <v>1.0</v>
      </c>
      <c r="L22" s="1">
        <v>68.4</v>
      </c>
      <c r="M22" s="1">
        <v>369.9</v>
      </c>
      <c r="N22" s="1">
        <v>5.4</v>
      </c>
      <c r="O22" s="1">
        <v>11.1</v>
      </c>
      <c r="P22" s="1">
        <v>6.2</v>
      </c>
      <c r="Q22" s="1">
        <v>2.5</v>
      </c>
      <c r="R22" s="1">
        <v>19.8</v>
      </c>
      <c r="S22" s="1">
        <v>6.4</v>
      </c>
      <c r="T22" s="1">
        <v>56.8</v>
      </c>
      <c r="U22" s="1">
        <v>0.8</v>
      </c>
      <c r="V22" s="1">
        <v>0.6</v>
      </c>
      <c r="W22" s="1">
        <v>1.5</v>
      </c>
      <c r="X22" s="1" t="str">
        <f t="array" ref="X22">XLOOKUP(MID(A22, SEARCH("+++", A22) + 3, LEN(A22)),'Defensive Data'!$A$2:$A$134,'Defensive Data'!$D$2:$X$134)</f>
        <v>#N/A</v>
      </c>
    </row>
    <row r="23" ht="15.75" customHeight="1">
      <c r="A23" s="1" t="str">
        <f>CONCATENATE(Scores!A23,"+++",Scores!C23)</f>
        <v>Tulane+++Southeastern Louisiana</v>
      </c>
      <c r="B23" s="1">
        <f>Scores!B23</f>
        <v>52</v>
      </c>
      <c r="C23" s="1">
        <f t="array" ref="C23:W23">XLOOKUP(LEFT(A23,SEARCH("+",A23)-1),'Offensive Data'!$A$2:$A$134,'Offensive Data'!$D$2:$X$134)</f>
        <v>14.8</v>
      </c>
      <c r="D23" s="1">
        <v>23.5</v>
      </c>
      <c r="E23" s="1">
        <v>62.9</v>
      </c>
      <c r="F23" s="1">
        <v>209.4</v>
      </c>
      <c r="G23" s="1">
        <v>1.8</v>
      </c>
      <c r="H23" s="1">
        <v>40.5</v>
      </c>
      <c r="I23" s="1">
        <v>195.6</v>
      </c>
      <c r="J23" s="1">
        <v>4.8</v>
      </c>
      <c r="K23" s="1">
        <v>2.3</v>
      </c>
      <c r="L23" s="1">
        <v>64.0</v>
      </c>
      <c r="M23" s="1">
        <v>405.0</v>
      </c>
      <c r="N23" s="1">
        <v>6.3</v>
      </c>
      <c r="O23" s="1">
        <v>8.5</v>
      </c>
      <c r="P23" s="1">
        <v>10.5</v>
      </c>
      <c r="Q23" s="1">
        <v>1.8</v>
      </c>
      <c r="R23" s="1">
        <v>20.8</v>
      </c>
      <c r="S23" s="1">
        <v>6.1</v>
      </c>
      <c r="T23" s="1">
        <v>50.1</v>
      </c>
      <c r="U23" s="1">
        <v>0.4</v>
      </c>
      <c r="V23" s="1">
        <v>0.6</v>
      </c>
      <c r="W23" s="1">
        <v>1.1</v>
      </c>
      <c r="X23" s="1" t="str">
        <f t="array" ref="X23">XLOOKUP(MID(A23, SEARCH("+++", A23) + 3, LEN(A23)),'Defensive Data'!$A$2:$A$134,'Defensive Data'!$D$2:$X$134)</f>
        <v>#N/A</v>
      </c>
    </row>
    <row r="24" ht="15.75" customHeight="1">
      <c r="A24" s="1" t="str">
        <f>CONCATENATE(Scores!A24,"+++",Scores!C24)</f>
        <v>Tulsa+++Northwestern State</v>
      </c>
      <c r="B24" s="1">
        <f>Scores!B24</f>
        <v>62</v>
      </c>
      <c r="C24" s="1">
        <f t="array" ref="C24:W24">XLOOKUP(LEFT(A24,SEARCH("+",A24)-1),'Offensive Data'!$A$2:$A$134,'Offensive Data'!$D$2:$X$134)</f>
        <v>20.7</v>
      </c>
      <c r="D24" s="1">
        <v>36.5</v>
      </c>
      <c r="E24" s="1">
        <v>56.6</v>
      </c>
      <c r="F24" s="1">
        <v>238.6</v>
      </c>
      <c r="G24" s="1">
        <v>1.9</v>
      </c>
      <c r="H24" s="1">
        <v>37.6</v>
      </c>
      <c r="I24" s="1">
        <v>151.1</v>
      </c>
      <c r="J24" s="1">
        <v>4.0</v>
      </c>
      <c r="K24" s="1">
        <v>0.9</v>
      </c>
      <c r="L24" s="1">
        <v>74.1</v>
      </c>
      <c r="M24" s="1">
        <v>389.7</v>
      </c>
      <c r="N24" s="1">
        <v>5.3</v>
      </c>
      <c r="O24" s="1">
        <v>10.2</v>
      </c>
      <c r="P24" s="1">
        <v>7.6</v>
      </c>
      <c r="Q24" s="1">
        <v>2.8</v>
      </c>
      <c r="R24" s="1">
        <v>20.6</v>
      </c>
      <c r="S24" s="1">
        <v>5.9</v>
      </c>
      <c r="T24" s="1">
        <v>51.0</v>
      </c>
      <c r="U24" s="1">
        <v>0.8</v>
      </c>
      <c r="V24" s="1">
        <v>1.0</v>
      </c>
      <c r="W24" s="1">
        <v>1.8</v>
      </c>
      <c r="X24" s="1" t="str">
        <f t="array" ref="X24">XLOOKUP(MID(A24, SEARCH("+++", A24) + 3, LEN(A24)),'Defensive Data'!$A$2:$A$134,'Defensive Data'!$D$2:$X$134)</f>
        <v>#N/A</v>
      </c>
    </row>
    <row r="25" ht="15.75" customHeight="1">
      <c r="A25" s="1" t="str">
        <f>CONCATENATE(Scores!A25,"+++",Scores!C25)</f>
        <v>Utah+++Southern Utah</v>
      </c>
      <c r="B25" s="1">
        <f>Scores!B25</f>
        <v>49</v>
      </c>
      <c r="C25" s="1">
        <f t="array" ref="C25:W25">XLOOKUP(LEFT(A25,SEARCH("+",A25)-1),'Offensive Data'!$A$2:$A$134,'Offensive Data'!$D$2:$X$134)</f>
        <v>16.6</v>
      </c>
      <c r="D25" s="1">
        <v>29.8</v>
      </c>
      <c r="E25" s="1">
        <v>55.6</v>
      </c>
      <c r="F25" s="1">
        <v>199.4</v>
      </c>
      <c r="G25" s="1">
        <v>1.7</v>
      </c>
      <c r="H25" s="1">
        <v>33.6</v>
      </c>
      <c r="I25" s="1">
        <v>130.4</v>
      </c>
      <c r="J25" s="1">
        <v>3.9</v>
      </c>
      <c r="K25" s="1">
        <v>0.6</v>
      </c>
      <c r="L25" s="1">
        <v>63.4</v>
      </c>
      <c r="M25" s="1">
        <v>329.8</v>
      </c>
      <c r="N25" s="1">
        <v>5.2</v>
      </c>
      <c r="O25" s="1">
        <v>8.6</v>
      </c>
      <c r="P25" s="1">
        <v>6.8</v>
      </c>
      <c r="Q25" s="1">
        <v>1.3</v>
      </c>
      <c r="R25" s="1">
        <v>16.6</v>
      </c>
      <c r="S25" s="1">
        <v>5.4</v>
      </c>
      <c r="T25" s="1">
        <v>46.3</v>
      </c>
      <c r="U25" s="1">
        <v>0.4</v>
      </c>
      <c r="V25" s="1">
        <v>1.4</v>
      </c>
      <c r="W25" s="1">
        <v>1.8</v>
      </c>
      <c r="X25" s="1" t="str">
        <f t="array" ref="X25">XLOOKUP(MID(A25, SEARCH("+++", A25) + 3, LEN(A25)),'Defensive Data'!$A$2:$A$134,'Defensive Data'!$D$2:$X$134)</f>
        <v>#N/A</v>
      </c>
    </row>
    <row r="26" ht="15.75" customHeight="1">
      <c r="A26" s="1" t="str">
        <f>CONCATENATE(Scores!A26,"+++",Scores!C26)</f>
        <v>Wake Forest+++North Carolina A&amp;T</v>
      </c>
      <c r="B26" s="1">
        <f>Scores!B26</f>
        <v>45</v>
      </c>
      <c r="C26" s="1">
        <f t="array" ref="C26:W26">XLOOKUP(LEFT(A26,SEARCH("+",A26)-1),'Offensive Data'!$A$2:$A$134,'Offensive Data'!$D$2:$X$134)</f>
        <v>20.7</v>
      </c>
      <c r="D26" s="1">
        <v>33.7</v>
      </c>
      <c r="E26" s="1">
        <v>61.4</v>
      </c>
      <c r="F26" s="1">
        <v>240.1</v>
      </c>
      <c r="G26" s="1">
        <v>1.4</v>
      </c>
      <c r="H26" s="1">
        <v>37.0</v>
      </c>
      <c r="I26" s="1">
        <v>130.6</v>
      </c>
      <c r="J26" s="1">
        <v>3.5</v>
      </c>
      <c r="K26" s="1">
        <v>1.5</v>
      </c>
      <c r="L26" s="1">
        <v>70.7</v>
      </c>
      <c r="M26" s="1">
        <v>370.7</v>
      </c>
      <c r="N26" s="1">
        <v>5.2</v>
      </c>
      <c r="O26" s="1">
        <v>11.3</v>
      </c>
      <c r="P26" s="1">
        <v>7.8</v>
      </c>
      <c r="Q26" s="1">
        <v>2.7</v>
      </c>
      <c r="R26" s="1">
        <v>21.8</v>
      </c>
      <c r="S26" s="1">
        <v>5.1</v>
      </c>
      <c r="T26" s="1">
        <v>45.9</v>
      </c>
      <c r="U26" s="1">
        <v>0.7</v>
      </c>
      <c r="V26" s="1">
        <v>1.1</v>
      </c>
      <c r="W26" s="1">
        <v>1.8</v>
      </c>
      <c r="X26" s="1" t="str">
        <f t="array" ref="X26">XLOOKUP(MID(A26, SEARCH("+++", A26) + 3, LEN(A26)),'Defensive Data'!$A$2:$A$134,'Defensive Data'!$D$2:$X$134)</f>
        <v>#N/A</v>
      </c>
    </row>
    <row r="27" ht="15.75" customHeight="1">
      <c r="A27" s="1" t="str">
        <f>CONCATENATE(Scores!A27,"+++",Scores!C27)</f>
        <v>Army+++Lehigh</v>
      </c>
      <c r="B27" s="1">
        <f>Scores!B27</f>
        <v>42</v>
      </c>
      <c r="C27" s="1">
        <f t="array" ref="C27:W27">XLOOKUP(LEFT(A27,SEARCH("+",A27)-1),'Offensive Data'!$A$2:$A$134,'Offensive Data'!$D$2:$X$134)</f>
        <v>4.7</v>
      </c>
      <c r="D27" s="1">
        <v>8.7</v>
      </c>
      <c r="E27" s="1">
        <v>54.1</v>
      </c>
      <c r="F27" s="1">
        <v>80.6</v>
      </c>
      <c r="G27" s="1">
        <v>0.7</v>
      </c>
      <c r="H27" s="1">
        <v>54.6</v>
      </c>
      <c r="I27" s="1">
        <v>300.5</v>
      </c>
      <c r="J27" s="1">
        <v>5.5</v>
      </c>
      <c r="K27" s="1">
        <v>3.4</v>
      </c>
      <c r="L27" s="1">
        <v>63.3</v>
      </c>
      <c r="M27" s="1">
        <v>381.1</v>
      </c>
      <c r="N27" s="1">
        <v>6.0</v>
      </c>
      <c r="O27" s="1">
        <v>3.1</v>
      </c>
      <c r="P27" s="1">
        <v>16.4</v>
      </c>
      <c r="Q27" s="1">
        <v>1.3</v>
      </c>
      <c r="R27" s="1">
        <v>20.9</v>
      </c>
      <c r="S27" s="1">
        <v>3.2</v>
      </c>
      <c r="T27" s="1">
        <v>31.5</v>
      </c>
      <c r="U27" s="1">
        <v>0.4</v>
      </c>
      <c r="V27" s="1">
        <v>0.3</v>
      </c>
      <c r="W27" s="1">
        <v>0.6</v>
      </c>
      <c r="X27" s="1" t="str">
        <f t="array" ref="X27">XLOOKUP(MID(A27, SEARCH("+++", A27) + 3, LEN(A27)),'Defensive Data'!$A$2:$A$134,'Defensive Data'!$D$2:$X$134)</f>
        <v>#N/A</v>
      </c>
    </row>
    <row r="28" ht="15.75" customHeight="1">
      <c r="A28" s="1" t="str">
        <f>CONCATENATE(Scores!A28,"+++",Scores!C28)</f>
        <v>Duke+++Elon</v>
      </c>
      <c r="B28" s="1">
        <f>Scores!B28</f>
        <v>26</v>
      </c>
      <c r="C28" s="1">
        <f t="array" ref="C28:W28">XLOOKUP(LEFT(A28,SEARCH("+",A28)-1),'Offensive Data'!$A$2:$A$134,'Offensive Data'!$D$2:$X$134)</f>
        <v>21.5</v>
      </c>
      <c r="D28" s="1">
        <v>35.9</v>
      </c>
      <c r="E28" s="1">
        <v>60.0</v>
      </c>
      <c r="F28" s="1">
        <v>244.3</v>
      </c>
      <c r="G28" s="1">
        <v>2.2</v>
      </c>
      <c r="H28" s="1">
        <v>29.3</v>
      </c>
      <c r="I28" s="1">
        <v>92.5</v>
      </c>
      <c r="J28" s="1">
        <v>3.2</v>
      </c>
      <c r="K28" s="1">
        <v>1.0</v>
      </c>
      <c r="L28" s="1">
        <v>65.2</v>
      </c>
      <c r="M28" s="1">
        <v>336.8</v>
      </c>
      <c r="N28" s="1">
        <v>5.2</v>
      </c>
      <c r="O28" s="1">
        <v>10.8</v>
      </c>
      <c r="P28" s="1">
        <v>4.6</v>
      </c>
      <c r="Q28" s="1">
        <v>2.2</v>
      </c>
      <c r="R28" s="1">
        <v>17.6</v>
      </c>
      <c r="S28" s="1">
        <v>5.2</v>
      </c>
      <c r="T28" s="1">
        <v>50.1</v>
      </c>
      <c r="U28" s="1">
        <v>0.5</v>
      </c>
      <c r="V28" s="1">
        <v>1.0</v>
      </c>
      <c r="W28" s="1">
        <v>1.5</v>
      </c>
      <c r="X28" s="1" t="str">
        <f t="array" ref="X28">XLOOKUP(MID(A28, SEARCH("+++", A28) + 3, LEN(A28)),'Defensive Data'!$A$2:$A$134,'Defensive Data'!$D$2:$X$134)</f>
        <v>#N/A</v>
      </c>
    </row>
    <row r="29" ht="15.75" customHeight="1">
      <c r="A29" s="1" t="str">
        <f>CONCATENATE(Scores!A29,"+++",Scores!C29)</f>
        <v>Michigan State+++Florida Atlantic</v>
      </c>
      <c r="B29" s="1">
        <f>Scores!B29</f>
        <v>16</v>
      </c>
      <c r="C29" s="1">
        <f t="array" ref="C29:W29">XLOOKUP(LEFT(A29,SEARCH("+",A29)-1),'Offensive Data'!$A$2:$A$134,'Offensive Data'!$D$2:$X$134)</f>
        <v>17.7</v>
      </c>
      <c r="D29" s="1">
        <v>29.4</v>
      </c>
      <c r="E29" s="1">
        <v>60.1</v>
      </c>
      <c r="F29" s="1">
        <v>218.1</v>
      </c>
      <c r="G29" s="1">
        <v>1.1</v>
      </c>
      <c r="H29" s="1">
        <v>32.8</v>
      </c>
      <c r="I29" s="1">
        <v>116.3</v>
      </c>
      <c r="J29" s="1">
        <v>3.6</v>
      </c>
      <c r="K29" s="1">
        <v>0.9</v>
      </c>
      <c r="L29" s="1">
        <v>62.2</v>
      </c>
      <c r="M29" s="1">
        <v>334.4</v>
      </c>
      <c r="N29" s="1">
        <v>5.4</v>
      </c>
      <c r="O29" s="1">
        <v>9.2</v>
      </c>
      <c r="P29" s="1">
        <v>8.3</v>
      </c>
      <c r="Q29" s="1">
        <v>1.4</v>
      </c>
      <c r="R29" s="1">
        <v>18.8</v>
      </c>
      <c r="S29" s="1">
        <v>6.7</v>
      </c>
      <c r="T29" s="1">
        <v>63.3</v>
      </c>
      <c r="U29" s="1">
        <v>0.6</v>
      </c>
      <c r="V29" s="1">
        <v>1.0</v>
      </c>
      <c r="W29" s="1">
        <v>1.6</v>
      </c>
      <c r="X29" s="1">
        <f t="array" ref="X29:AR29">XLOOKUP(MID(A29, SEARCH("+++", A29) + 3, LEN(A29)),'Defensive Data'!$A$2:$A$134,'Defensive Data'!$D$2:$X$134)</f>
        <v>17.6</v>
      </c>
      <c r="Y29" s="1">
        <v>31.5</v>
      </c>
      <c r="Z29" s="1">
        <v>55.8</v>
      </c>
      <c r="AA29" s="1">
        <v>233.2</v>
      </c>
      <c r="AB29" s="1">
        <v>2.1</v>
      </c>
      <c r="AC29" s="1">
        <v>37.5</v>
      </c>
      <c r="AD29" s="1">
        <v>183.5</v>
      </c>
      <c r="AE29" s="1">
        <v>4.9</v>
      </c>
      <c r="AF29" s="1">
        <v>1.5</v>
      </c>
      <c r="AG29" s="1">
        <v>69.0</v>
      </c>
      <c r="AH29" s="1">
        <v>416.7</v>
      </c>
      <c r="AI29" s="1">
        <v>6.0</v>
      </c>
      <c r="AJ29" s="1">
        <v>9.8</v>
      </c>
      <c r="AK29" s="1">
        <v>9.3</v>
      </c>
      <c r="AL29" s="1">
        <v>1.9</v>
      </c>
      <c r="AM29" s="1">
        <v>21.0</v>
      </c>
      <c r="AN29" s="1">
        <v>6.0</v>
      </c>
      <c r="AO29" s="1">
        <v>52.5</v>
      </c>
      <c r="AP29" s="1">
        <v>0.6</v>
      </c>
      <c r="AQ29" s="1">
        <v>0.9</v>
      </c>
      <c r="AR29" s="1">
        <v>1.5</v>
      </c>
    </row>
    <row r="30" ht="15.75" customHeight="1">
      <c r="A30" s="1" t="str">
        <f>CONCATENATE(Scores!A30,"+++",Scores!C30)</f>
        <v>Oklahoma+++Temple</v>
      </c>
      <c r="B30" s="1">
        <f>Scores!B30</f>
        <v>51</v>
      </c>
      <c r="C30" s="1">
        <f t="array" ref="C30:W30">XLOOKUP(LEFT(A30,SEARCH("+",A30)-1),'Offensive Data'!$A$2:$A$134,'Offensive Data'!$D$2:$X$134)</f>
        <v>18.1</v>
      </c>
      <c r="D30" s="1">
        <v>28.7</v>
      </c>
      <c r="E30" s="1">
        <v>63.0</v>
      </c>
      <c r="F30" s="1">
        <v>175.8</v>
      </c>
      <c r="G30" s="1">
        <v>1.2</v>
      </c>
      <c r="H30" s="1">
        <v>40.1</v>
      </c>
      <c r="I30" s="1">
        <v>155.2</v>
      </c>
      <c r="J30" s="1">
        <v>3.9</v>
      </c>
      <c r="K30" s="1">
        <v>1.3</v>
      </c>
      <c r="L30" s="1">
        <v>68.8</v>
      </c>
      <c r="M30" s="1">
        <v>331.0</v>
      </c>
      <c r="N30" s="1">
        <v>4.8</v>
      </c>
      <c r="O30" s="1">
        <v>7.7</v>
      </c>
      <c r="P30" s="1">
        <v>9.2</v>
      </c>
      <c r="Q30" s="1">
        <v>2.1</v>
      </c>
      <c r="R30" s="1">
        <v>19.0</v>
      </c>
      <c r="S30" s="1">
        <v>5.3</v>
      </c>
      <c r="T30" s="1">
        <v>45.5</v>
      </c>
      <c r="U30" s="1">
        <v>1.2</v>
      </c>
      <c r="V30" s="1">
        <v>0.5</v>
      </c>
      <c r="W30" s="1">
        <v>1.6</v>
      </c>
      <c r="X30" s="1">
        <f t="array" ref="X30:AR30">XLOOKUP(MID(A30, SEARCH("+++", A30) + 3, LEN(A30)),'Defensive Data'!$A$2:$A$134,'Defensive Data'!$D$2:$X$134)</f>
        <v>16.3</v>
      </c>
      <c r="Y30" s="1">
        <v>27.8</v>
      </c>
      <c r="Z30" s="1">
        <v>58.9</v>
      </c>
      <c r="AA30" s="1">
        <v>191.7</v>
      </c>
      <c r="AB30" s="1">
        <v>1.7</v>
      </c>
      <c r="AC30" s="1">
        <v>40.8</v>
      </c>
      <c r="AD30" s="1">
        <v>226.1</v>
      </c>
      <c r="AE30" s="1">
        <v>5.5</v>
      </c>
      <c r="AF30" s="1">
        <v>2.5</v>
      </c>
      <c r="AG30" s="1">
        <v>68.6</v>
      </c>
      <c r="AH30" s="1">
        <v>417.8</v>
      </c>
      <c r="AI30" s="1">
        <v>6.1</v>
      </c>
      <c r="AJ30" s="1">
        <v>8.4</v>
      </c>
      <c r="AK30" s="1">
        <v>10.0</v>
      </c>
      <c r="AL30" s="1">
        <v>1.6</v>
      </c>
      <c r="AM30" s="1">
        <v>20.0</v>
      </c>
      <c r="AN30" s="1">
        <v>5.4</v>
      </c>
      <c r="AO30" s="1">
        <v>47.1</v>
      </c>
      <c r="AP30" s="1">
        <v>0.5</v>
      </c>
      <c r="AQ30" s="1">
        <v>0.8</v>
      </c>
      <c r="AR30" s="1">
        <v>1.3</v>
      </c>
    </row>
    <row r="31" ht="15.75" customHeight="1">
      <c r="A31" s="1" t="str">
        <f>CONCATENATE(Scores!A31,"+++",Scores!C31)</f>
        <v>Texas Christian+++Stanford</v>
      </c>
      <c r="B31" s="1">
        <f>Scores!B31</f>
        <v>34</v>
      </c>
      <c r="C31" s="1" t="str">
        <f t="array" ref="C31">XLOOKUP(LEFT(A31,SEARCH("+",A31)-1),'Offensive Data'!$A$2:$A$134,'Offensive Data'!$D$2:$X$134)</f>
        <v>#N/A</v>
      </c>
      <c r="X31" s="1">
        <f t="array" ref="X31:AR31">XLOOKUP(MID(A31, SEARCH("+++", A31) + 3, LEN(A31)),'Defensive Data'!$A$2:$A$134,'Defensive Data'!$D$2:$X$134)</f>
        <v>21.9</v>
      </c>
      <c r="Y31" s="1">
        <v>33.2</v>
      </c>
      <c r="Z31" s="1">
        <v>66.1</v>
      </c>
      <c r="AA31" s="1">
        <v>280.6</v>
      </c>
      <c r="AB31" s="1">
        <v>2.6</v>
      </c>
      <c r="AC31" s="1">
        <v>31.6</v>
      </c>
      <c r="AD31" s="1">
        <v>133.5</v>
      </c>
      <c r="AE31" s="1">
        <v>4.2</v>
      </c>
      <c r="AF31" s="1">
        <v>1.8</v>
      </c>
      <c r="AG31" s="1">
        <v>64.8</v>
      </c>
      <c r="AH31" s="1">
        <v>414.1</v>
      </c>
      <c r="AI31" s="1">
        <v>6.4</v>
      </c>
      <c r="AJ31" s="1">
        <v>12.4</v>
      </c>
      <c r="AK31" s="1">
        <v>7.3</v>
      </c>
      <c r="AL31" s="1">
        <v>1.5</v>
      </c>
      <c r="AM31" s="1">
        <v>21.2</v>
      </c>
      <c r="AN31" s="1">
        <v>6.8</v>
      </c>
      <c r="AO31" s="1">
        <v>61.8</v>
      </c>
      <c r="AP31" s="1">
        <v>0.7</v>
      </c>
      <c r="AQ31" s="1">
        <v>0.8</v>
      </c>
      <c r="AR31" s="1">
        <v>1.4</v>
      </c>
    </row>
    <row r="32" ht="15.75" customHeight="1">
      <c r="A32" s="1" t="str">
        <f>CONCATENATE(Scores!A32,"+++",Scores!C32)</f>
        <v>Wisconsin+++Western Michigan</v>
      </c>
      <c r="B32" s="1">
        <f>Scores!B32</f>
        <v>28</v>
      </c>
      <c r="C32" s="1">
        <f t="array" ref="C32:W32">XLOOKUP(LEFT(A32,SEARCH("+",A32)-1),'Offensive Data'!$A$2:$A$134,'Offensive Data'!$D$2:$X$134)</f>
        <v>17.3</v>
      </c>
      <c r="D32" s="1">
        <v>30.4</v>
      </c>
      <c r="E32" s="1">
        <v>57.0</v>
      </c>
      <c r="F32" s="1">
        <v>196.7</v>
      </c>
      <c r="G32" s="1">
        <v>1.2</v>
      </c>
      <c r="H32" s="1">
        <v>35.2</v>
      </c>
      <c r="I32" s="1">
        <v>153.7</v>
      </c>
      <c r="J32" s="1">
        <v>4.4</v>
      </c>
      <c r="K32" s="1">
        <v>1.6</v>
      </c>
      <c r="L32" s="1">
        <v>65.6</v>
      </c>
      <c r="M32" s="1">
        <v>350.3</v>
      </c>
      <c r="N32" s="1">
        <v>5.3</v>
      </c>
      <c r="O32" s="1">
        <v>8.2</v>
      </c>
      <c r="P32" s="1">
        <v>8.7</v>
      </c>
      <c r="Q32" s="1">
        <v>1.9</v>
      </c>
      <c r="R32" s="1">
        <v>18.8</v>
      </c>
      <c r="S32" s="1">
        <v>5.3</v>
      </c>
      <c r="T32" s="1">
        <v>37.5</v>
      </c>
      <c r="U32" s="1">
        <v>0.7</v>
      </c>
      <c r="V32" s="1">
        <v>0.8</v>
      </c>
      <c r="W32" s="1">
        <v>1.5</v>
      </c>
      <c r="X32" s="1">
        <f t="array" ref="X32:AR32">XLOOKUP(MID(A32, SEARCH("+++", A32) + 3, LEN(A32)),'Defensive Data'!$A$2:$A$134,'Defensive Data'!$D$2:$X$134)</f>
        <v>16.2</v>
      </c>
      <c r="Y32" s="1">
        <v>26.5</v>
      </c>
      <c r="Z32" s="1">
        <v>61.3</v>
      </c>
      <c r="AA32" s="1">
        <v>222.6</v>
      </c>
      <c r="AB32" s="1">
        <v>1.5</v>
      </c>
      <c r="AC32" s="1">
        <v>38.5</v>
      </c>
      <c r="AD32" s="1">
        <v>192.5</v>
      </c>
      <c r="AE32" s="1">
        <v>5.0</v>
      </c>
      <c r="AF32" s="1">
        <v>2.2</v>
      </c>
      <c r="AG32" s="1">
        <v>64.9</v>
      </c>
      <c r="AH32" s="1">
        <v>415.1</v>
      </c>
      <c r="AI32" s="1">
        <v>6.4</v>
      </c>
      <c r="AJ32" s="1">
        <v>9.5</v>
      </c>
      <c r="AK32" s="1">
        <v>10.1</v>
      </c>
      <c r="AL32" s="1">
        <v>1.6</v>
      </c>
      <c r="AM32" s="1">
        <v>21.2</v>
      </c>
      <c r="AN32" s="1">
        <v>4.6</v>
      </c>
      <c r="AO32" s="1">
        <v>38.7</v>
      </c>
      <c r="AP32" s="1">
        <v>1.0</v>
      </c>
      <c r="AQ32" s="1">
        <v>0.6</v>
      </c>
      <c r="AR32" s="1">
        <v>1.6</v>
      </c>
    </row>
    <row r="33" ht="15.75" customHeight="1">
      <c r="A33" s="1" t="str">
        <f>CONCATENATE(Scores!A33,"+++",Scores!C33)</f>
        <v>Air Force+++Merrimack</v>
      </c>
      <c r="B33" s="1">
        <f>Scores!B33</f>
        <v>21</v>
      </c>
      <c r="C33" s="1">
        <f t="array" ref="C33:W33">XLOOKUP(LEFT(A33,SEARCH("+",A33)-1),'Offensive Data'!$A$2:$A$134,'Offensive Data'!$D$2:$X$134)</f>
        <v>5.2</v>
      </c>
      <c r="D33" s="1">
        <v>11.5</v>
      </c>
      <c r="E33" s="1">
        <v>44.9</v>
      </c>
      <c r="F33" s="1">
        <v>89.8</v>
      </c>
      <c r="G33" s="1">
        <v>0.4</v>
      </c>
      <c r="H33" s="1">
        <v>56.1</v>
      </c>
      <c r="I33" s="1">
        <v>224.0</v>
      </c>
      <c r="J33" s="1">
        <v>4.0</v>
      </c>
      <c r="K33" s="1">
        <v>2.0</v>
      </c>
      <c r="L33" s="1">
        <v>67.6</v>
      </c>
      <c r="M33" s="1">
        <v>313.8</v>
      </c>
      <c r="N33" s="1">
        <v>4.6</v>
      </c>
      <c r="O33" s="1">
        <v>3.3</v>
      </c>
      <c r="P33" s="1">
        <v>13.3</v>
      </c>
      <c r="Q33" s="1">
        <v>1.4</v>
      </c>
      <c r="R33" s="1">
        <v>18.0</v>
      </c>
      <c r="S33" s="1">
        <v>3.2</v>
      </c>
      <c r="T33" s="1">
        <v>28.8</v>
      </c>
      <c r="U33" s="1">
        <v>0.4</v>
      </c>
      <c r="V33" s="1">
        <v>0.8</v>
      </c>
      <c r="W33" s="1">
        <v>1.3</v>
      </c>
      <c r="X33" s="1" t="str">
        <f t="array" ref="X33">XLOOKUP(MID(A33, SEARCH("+++", A33) + 3, LEN(A33)),'Defensive Data'!$A$2:$A$134,'Defensive Data'!$D$2:$X$134)</f>
        <v>#N/A</v>
      </c>
    </row>
    <row r="34" ht="15.75" customHeight="1">
      <c r="A34" s="1" t="str">
        <f>CONCATENATE(Scores!A34,"+++",Scores!C34)</f>
        <v>Alabama+++Western Kentucky</v>
      </c>
      <c r="B34" s="1">
        <f>Scores!B34</f>
        <v>63</v>
      </c>
      <c r="C34" s="1">
        <f t="array" ref="C34:W34">XLOOKUP(LEFT(A34,SEARCH("+",A34)-1),'Offensive Data'!$A$2:$A$134,'Offensive Data'!$D$2:$X$134)</f>
        <v>17.4</v>
      </c>
      <c r="D34" s="1">
        <v>27.2</v>
      </c>
      <c r="E34" s="1">
        <v>63.8</v>
      </c>
      <c r="F34" s="1">
        <v>236.4</v>
      </c>
      <c r="G34" s="1">
        <v>1.3</v>
      </c>
      <c r="H34" s="1">
        <v>37.5</v>
      </c>
      <c r="I34" s="1">
        <v>173.8</v>
      </c>
      <c r="J34" s="1">
        <v>4.6</v>
      </c>
      <c r="K34" s="1">
        <v>3.2</v>
      </c>
      <c r="L34" s="1">
        <v>64.8</v>
      </c>
      <c r="M34" s="1">
        <v>410.2</v>
      </c>
      <c r="N34" s="1">
        <v>6.3</v>
      </c>
      <c r="O34" s="1">
        <v>9.8</v>
      </c>
      <c r="P34" s="1">
        <v>9.7</v>
      </c>
      <c r="Q34" s="1">
        <v>1.4</v>
      </c>
      <c r="R34" s="1">
        <v>20.8</v>
      </c>
      <c r="S34" s="1">
        <v>7.3</v>
      </c>
      <c r="T34" s="1">
        <v>69.1</v>
      </c>
      <c r="U34" s="1">
        <v>0.8</v>
      </c>
      <c r="V34" s="1">
        <v>0.8</v>
      </c>
      <c r="W34" s="1">
        <v>1.6</v>
      </c>
      <c r="X34" s="1">
        <f t="array" ref="X34:AR34">XLOOKUP(MID(A34, SEARCH("+++", A34) + 3, LEN(A34)),'Defensive Data'!$A$2:$A$134,'Defensive Data'!$D$2:$X$134)</f>
        <v>13.9</v>
      </c>
      <c r="Y34" s="1">
        <v>22.9</v>
      </c>
      <c r="Z34" s="1">
        <v>60.7</v>
      </c>
      <c r="AA34" s="1">
        <v>176.1</v>
      </c>
      <c r="AB34" s="1">
        <v>1.3</v>
      </c>
      <c r="AC34" s="1">
        <v>44.2</v>
      </c>
      <c r="AD34" s="1">
        <v>221.2</v>
      </c>
      <c r="AE34" s="1">
        <v>5.0</v>
      </c>
      <c r="AF34" s="1">
        <v>1.9</v>
      </c>
      <c r="AG34" s="1">
        <v>67.1</v>
      </c>
      <c r="AH34" s="1">
        <v>397.3</v>
      </c>
      <c r="AI34" s="1">
        <v>5.9</v>
      </c>
      <c r="AJ34" s="1">
        <v>7.4</v>
      </c>
      <c r="AK34" s="1">
        <v>11.6</v>
      </c>
      <c r="AL34" s="1">
        <v>1.1</v>
      </c>
      <c r="AM34" s="1">
        <v>20.1</v>
      </c>
      <c r="AN34" s="1">
        <v>5.1</v>
      </c>
      <c r="AO34" s="1">
        <v>44.9</v>
      </c>
      <c r="AP34" s="1">
        <v>0.7</v>
      </c>
      <c r="AQ34" s="1">
        <v>0.7</v>
      </c>
      <c r="AR34" s="1">
        <v>1.4</v>
      </c>
    </row>
    <row r="35" ht="15.75" customHeight="1">
      <c r="A35" s="1" t="str">
        <f>CONCATENATE(Scores!A35,"+++",Scores!C35)</f>
        <v>Appalachian State+++East Tennessee State</v>
      </c>
      <c r="B35" s="1">
        <f>Scores!B35</f>
        <v>38</v>
      </c>
      <c r="C35" s="1">
        <f t="array" ref="C35:W35">XLOOKUP(LEFT(A35,SEARCH("+",A35)-1),'Offensive Data'!$A$2:$A$134,'Offensive Data'!$D$2:$X$134)</f>
        <v>19.8</v>
      </c>
      <c r="D35" s="1">
        <v>35.6</v>
      </c>
      <c r="E35" s="1">
        <v>55.6</v>
      </c>
      <c r="F35" s="1">
        <v>273.0</v>
      </c>
      <c r="G35" s="1">
        <v>2.1</v>
      </c>
      <c r="H35" s="1">
        <v>35.2</v>
      </c>
      <c r="I35" s="1">
        <v>153.8</v>
      </c>
      <c r="J35" s="1">
        <v>4.4</v>
      </c>
      <c r="K35" s="1">
        <v>1.2</v>
      </c>
      <c r="L35" s="1">
        <v>70.8</v>
      </c>
      <c r="M35" s="1">
        <v>426.8</v>
      </c>
      <c r="N35" s="1">
        <v>6.0</v>
      </c>
      <c r="O35" s="1">
        <v>12.2</v>
      </c>
      <c r="P35" s="1">
        <v>9.5</v>
      </c>
      <c r="Q35" s="1">
        <v>2.2</v>
      </c>
      <c r="R35" s="1">
        <v>23.8</v>
      </c>
      <c r="S35" s="1">
        <v>6.0</v>
      </c>
      <c r="T35" s="1">
        <v>56.9</v>
      </c>
      <c r="U35" s="1">
        <v>0.5</v>
      </c>
      <c r="V35" s="1">
        <v>1.5</v>
      </c>
      <c r="W35" s="1">
        <v>2.0</v>
      </c>
      <c r="X35" s="1" t="str">
        <f t="array" ref="X35">XLOOKUP(MID(A35, SEARCH("+++", A35) + 3, LEN(A35)),'Defensive Data'!$A$2:$A$134,'Defensive Data'!$D$2:$X$134)</f>
        <v>#N/A</v>
      </c>
    </row>
    <row r="36" ht="15.75" customHeight="1">
      <c r="A36" s="1" t="str">
        <f>CONCATENATE(Scores!A36,"+++",Scores!C36)</f>
        <v>Arizona+++New Mexico</v>
      </c>
      <c r="B36" s="1">
        <f>Scores!B36</f>
        <v>61</v>
      </c>
      <c r="C36" s="1">
        <f t="array" ref="C36:W36">XLOOKUP(LEFT(A36,SEARCH("+",A36)-1),'Offensive Data'!$A$2:$A$134,'Offensive Data'!$D$2:$X$134)</f>
        <v>21.8</v>
      </c>
      <c r="D36" s="1">
        <v>36.4</v>
      </c>
      <c r="E36" s="1">
        <v>60.0</v>
      </c>
      <c r="F36" s="1">
        <v>247.9</v>
      </c>
      <c r="G36" s="1">
        <v>1.5</v>
      </c>
      <c r="H36" s="1">
        <v>27.9</v>
      </c>
      <c r="I36" s="1">
        <v>106.6</v>
      </c>
      <c r="J36" s="1">
        <v>3.8</v>
      </c>
      <c r="K36" s="1">
        <v>0.9</v>
      </c>
      <c r="L36" s="1">
        <v>64.3</v>
      </c>
      <c r="M36" s="1">
        <v>354.5</v>
      </c>
      <c r="N36" s="1">
        <v>5.5</v>
      </c>
      <c r="O36" s="1">
        <v>10.8</v>
      </c>
      <c r="P36" s="1">
        <v>6.2</v>
      </c>
      <c r="Q36" s="1">
        <v>1.5</v>
      </c>
      <c r="R36" s="1">
        <v>18.5</v>
      </c>
      <c r="S36" s="1">
        <v>6.5</v>
      </c>
      <c r="T36" s="1">
        <v>57.6</v>
      </c>
      <c r="U36" s="1">
        <v>0.6</v>
      </c>
      <c r="V36" s="1">
        <v>1.1</v>
      </c>
      <c r="W36" s="1">
        <v>1.7</v>
      </c>
      <c r="X36" s="1">
        <f t="array" ref="X36:AR36">XLOOKUP(MID(A36, SEARCH("+++", A36) + 3, LEN(A36)),'Defensive Data'!$A$2:$A$134,'Defensive Data'!$D$2:$X$134)</f>
        <v>21.3</v>
      </c>
      <c r="Y36" s="1">
        <v>33.0</v>
      </c>
      <c r="Z36" s="1">
        <v>64.6</v>
      </c>
      <c r="AA36" s="1">
        <v>279.2</v>
      </c>
      <c r="AB36" s="1">
        <v>2.5</v>
      </c>
      <c r="AC36" s="1">
        <v>39.3</v>
      </c>
      <c r="AD36" s="1">
        <v>212.9</v>
      </c>
      <c r="AE36" s="1">
        <v>5.4</v>
      </c>
      <c r="AF36" s="1">
        <v>2.3</v>
      </c>
      <c r="AG36" s="1">
        <v>72.3</v>
      </c>
      <c r="AH36" s="1">
        <v>492.1</v>
      </c>
      <c r="AI36" s="1">
        <v>6.8</v>
      </c>
      <c r="AJ36" s="1">
        <v>11.7</v>
      </c>
      <c r="AK36" s="1">
        <v>10.6</v>
      </c>
      <c r="AL36" s="1">
        <v>2.4</v>
      </c>
      <c r="AM36" s="1">
        <v>24.7</v>
      </c>
      <c r="AN36" s="1">
        <v>7.0</v>
      </c>
      <c r="AO36" s="1">
        <v>65.4</v>
      </c>
      <c r="AP36" s="1">
        <v>0.6</v>
      </c>
      <c r="AQ36" s="1">
        <v>0.3</v>
      </c>
      <c r="AR36" s="1">
        <v>0.8</v>
      </c>
    </row>
    <row r="37" ht="15.75" customHeight="1">
      <c r="A37" s="1" t="str">
        <f>CONCATENATE(Scores!A37,"+++",Scores!C37)</f>
        <v>Arizona State+++Wyoming</v>
      </c>
      <c r="B37" s="1">
        <f>Scores!B37</f>
        <v>48</v>
      </c>
      <c r="C37" s="1">
        <f t="array" ref="C37:W37">XLOOKUP(LEFT(A37,SEARCH("+",A37)-1),'Offensive Data'!$A$2:$A$134,'Offensive Data'!$D$2:$X$134)</f>
        <v>16.7</v>
      </c>
      <c r="D37" s="1">
        <v>27.3</v>
      </c>
      <c r="E37" s="1">
        <v>61.3</v>
      </c>
      <c r="F37" s="1">
        <v>229.5</v>
      </c>
      <c r="G37" s="1">
        <v>1.9</v>
      </c>
      <c r="H37" s="1">
        <v>42.2</v>
      </c>
      <c r="I37" s="1">
        <v>199.9</v>
      </c>
      <c r="J37" s="1">
        <v>4.7</v>
      </c>
      <c r="K37" s="1">
        <v>2.1</v>
      </c>
      <c r="L37" s="1">
        <v>69.5</v>
      </c>
      <c r="M37" s="1">
        <v>429.4</v>
      </c>
      <c r="N37" s="1">
        <v>6.2</v>
      </c>
      <c r="O37" s="1">
        <v>9.6</v>
      </c>
      <c r="P37" s="1">
        <v>11.1</v>
      </c>
      <c r="Q37" s="1">
        <v>1.8</v>
      </c>
      <c r="R37" s="1">
        <v>22.5</v>
      </c>
      <c r="S37" s="1">
        <v>6.4</v>
      </c>
      <c r="T37" s="1">
        <v>53.6</v>
      </c>
      <c r="U37" s="1">
        <v>0.2</v>
      </c>
      <c r="V37" s="1">
        <v>0.4</v>
      </c>
      <c r="W37" s="1">
        <v>0.6</v>
      </c>
      <c r="X37" s="1">
        <f t="array" ref="X37:AR37">XLOOKUP(MID(A37, SEARCH("+++", A37) + 3, LEN(A37)),'Defensive Data'!$A$2:$A$134,'Defensive Data'!$D$2:$X$134)</f>
        <v>17.6</v>
      </c>
      <c r="Y37" s="1">
        <v>28.5</v>
      </c>
      <c r="Z37" s="1">
        <v>61.7</v>
      </c>
      <c r="AA37" s="1">
        <v>218.9</v>
      </c>
      <c r="AB37" s="1">
        <v>1.3</v>
      </c>
      <c r="AC37" s="1">
        <v>35.0</v>
      </c>
      <c r="AD37" s="1">
        <v>191.7</v>
      </c>
      <c r="AE37" s="1">
        <v>5.5</v>
      </c>
      <c r="AF37" s="1">
        <v>1.8</v>
      </c>
      <c r="AG37" s="1">
        <v>63.5</v>
      </c>
      <c r="AH37" s="1">
        <v>410.6</v>
      </c>
      <c r="AI37" s="1">
        <v>6.5</v>
      </c>
      <c r="AJ37" s="1">
        <v>9.8</v>
      </c>
      <c r="AK37" s="1">
        <v>8.7</v>
      </c>
      <c r="AL37" s="1">
        <v>1.5</v>
      </c>
      <c r="AM37" s="1">
        <v>19.9</v>
      </c>
      <c r="AN37" s="1">
        <v>7.1</v>
      </c>
      <c r="AO37" s="1">
        <v>58.8</v>
      </c>
      <c r="AP37" s="1">
        <v>0.4</v>
      </c>
      <c r="AQ37" s="1">
        <v>0.5</v>
      </c>
      <c r="AR37" s="1">
        <v>0.9</v>
      </c>
    </row>
    <row r="38" ht="15.75" customHeight="1">
      <c r="A38" s="1" t="str">
        <f>CONCATENATE(Scores!A38,"+++",Scores!C38)</f>
        <v>Arkansas State+++Central Arkansas</v>
      </c>
      <c r="B38" s="1">
        <f>Scores!B38</f>
        <v>34</v>
      </c>
      <c r="C38" s="1">
        <f t="array" ref="C38:W38">XLOOKUP(LEFT(A38,SEARCH("+",A38)-1),'Offensive Data'!$A$2:$A$134,'Offensive Data'!$D$2:$X$134)</f>
        <v>21.1</v>
      </c>
      <c r="D38" s="1">
        <v>34.0</v>
      </c>
      <c r="E38" s="1">
        <v>62.0</v>
      </c>
      <c r="F38" s="1">
        <v>227.5</v>
      </c>
      <c r="G38" s="1">
        <v>1.5</v>
      </c>
      <c r="H38" s="1">
        <v>37.5</v>
      </c>
      <c r="I38" s="1">
        <v>156.9</v>
      </c>
      <c r="J38" s="1">
        <v>4.2</v>
      </c>
      <c r="K38" s="1">
        <v>1.4</v>
      </c>
      <c r="L38" s="1">
        <v>71.5</v>
      </c>
      <c r="M38" s="1">
        <v>384.4</v>
      </c>
      <c r="N38" s="1">
        <v>5.4</v>
      </c>
      <c r="O38" s="1">
        <v>11.1</v>
      </c>
      <c r="P38" s="1">
        <v>8.7</v>
      </c>
      <c r="Q38" s="1">
        <v>2.1</v>
      </c>
      <c r="R38" s="1">
        <v>21.8</v>
      </c>
      <c r="S38" s="1">
        <v>5.6</v>
      </c>
      <c r="T38" s="1">
        <v>51.7</v>
      </c>
      <c r="U38" s="1">
        <v>0.6</v>
      </c>
      <c r="V38" s="1">
        <v>0.8</v>
      </c>
      <c r="W38" s="1">
        <v>1.4</v>
      </c>
      <c r="X38" s="1" t="str">
        <f t="array" ref="X38">XLOOKUP(MID(A38, SEARCH("+++", A38) + 3, LEN(A38)),'Defensive Data'!$A$2:$A$134,'Defensive Data'!$D$2:$X$134)</f>
        <v>#N/A</v>
      </c>
    </row>
    <row r="39" ht="15.75" customHeight="1">
      <c r="A39" s="1" t="str">
        <f>CONCATENATE(Scores!A39,"+++",Scores!C39)</f>
        <v>Auburn+++Alabama A&amp;M</v>
      </c>
      <c r="B39" s="1">
        <f>Scores!B39</f>
        <v>73</v>
      </c>
      <c r="C39" s="1">
        <f t="array" ref="C39:W39">XLOOKUP(LEFT(A39,SEARCH("+",A39)-1),'Offensive Data'!$A$2:$A$134,'Offensive Data'!$D$2:$X$134)</f>
        <v>19.2</v>
      </c>
      <c r="D39" s="1">
        <v>30.8</v>
      </c>
      <c r="E39" s="1">
        <v>62.3</v>
      </c>
      <c r="F39" s="1">
        <v>263.9</v>
      </c>
      <c r="G39" s="1">
        <v>2.3</v>
      </c>
      <c r="H39" s="1">
        <v>33.7</v>
      </c>
      <c r="I39" s="1">
        <v>165.5</v>
      </c>
      <c r="J39" s="1">
        <v>4.9</v>
      </c>
      <c r="K39" s="1">
        <v>1.1</v>
      </c>
      <c r="L39" s="1">
        <v>64.4</v>
      </c>
      <c r="M39" s="1">
        <v>429.4</v>
      </c>
      <c r="N39" s="1">
        <v>6.7</v>
      </c>
      <c r="O39" s="1">
        <v>10.6</v>
      </c>
      <c r="P39" s="1">
        <v>9.0</v>
      </c>
      <c r="Q39" s="1">
        <v>1.4</v>
      </c>
      <c r="R39" s="1">
        <v>21.0</v>
      </c>
      <c r="S39" s="1">
        <v>5.8</v>
      </c>
      <c r="T39" s="1">
        <v>49.3</v>
      </c>
      <c r="U39" s="1">
        <v>0.8</v>
      </c>
      <c r="V39" s="1">
        <v>1.1</v>
      </c>
      <c r="W39" s="1">
        <v>1.8</v>
      </c>
      <c r="X39" s="1" t="str">
        <f t="array" ref="X39">XLOOKUP(MID(A39, SEARCH("+++", A39) + 3, LEN(A39)),'Defensive Data'!$A$2:$A$134,'Defensive Data'!$D$2:$X$134)</f>
        <v>#N/A</v>
      </c>
    </row>
    <row r="40" ht="15.75" customHeight="1">
      <c r="A40" s="1" t="str">
        <f>CONCATENATE(Scores!A40,"+++",Scores!C40)</f>
        <v>Baylor+++Tarleton State</v>
      </c>
      <c r="B40" s="1">
        <f>Scores!B40</f>
        <v>45</v>
      </c>
      <c r="C40" s="1">
        <f t="array" ref="C40:W40">XLOOKUP(LEFT(A40,SEARCH("+",A40)-1),'Offensive Data'!$A$2:$A$134,'Offensive Data'!$D$2:$X$134)</f>
        <v>19.5</v>
      </c>
      <c r="D40" s="1">
        <v>31.8</v>
      </c>
      <c r="E40" s="1">
        <v>61.3</v>
      </c>
      <c r="F40" s="1">
        <v>261.3</v>
      </c>
      <c r="G40" s="1">
        <v>2.4</v>
      </c>
      <c r="H40" s="1">
        <v>37.8</v>
      </c>
      <c r="I40" s="1">
        <v>178.8</v>
      </c>
      <c r="J40" s="1">
        <v>4.7</v>
      </c>
      <c r="K40" s="1">
        <v>1.9</v>
      </c>
      <c r="L40" s="1">
        <v>69.5</v>
      </c>
      <c r="M40" s="1">
        <v>440.1</v>
      </c>
      <c r="N40" s="1">
        <v>6.3</v>
      </c>
      <c r="O40" s="1">
        <v>12.1</v>
      </c>
      <c r="P40" s="1">
        <v>9.1</v>
      </c>
      <c r="Q40" s="1">
        <v>1.8</v>
      </c>
      <c r="R40" s="1">
        <v>23.0</v>
      </c>
      <c r="S40" s="1">
        <v>6.2</v>
      </c>
      <c r="T40" s="1">
        <v>60.4</v>
      </c>
      <c r="U40" s="1">
        <v>0.4</v>
      </c>
      <c r="V40" s="1">
        <v>0.8</v>
      </c>
      <c r="W40" s="1">
        <v>1.2</v>
      </c>
      <c r="X40" s="1" t="str">
        <f t="array" ref="X40">XLOOKUP(MID(A40, SEARCH("+++", A40) + 3, LEN(A40)),'Defensive Data'!$A$2:$A$134,'Defensive Data'!$D$2:$X$134)</f>
        <v>#N/A</v>
      </c>
    </row>
    <row r="41" ht="15.75" customHeight="1">
      <c r="A41" s="1" t="str">
        <f>CONCATENATE(Scores!A41,"+++",Scores!C41)</f>
        <v>Boise State+++Georgia Southern</v>
      </c>
      <c r="B41" s="1">
        <f>Scores!B41</f>
        <v>56</v>
      </c>
      <c r="C41" s="1">
        <f t="array" ref="C41:W41">XLOOKUP(LEFT(A41,SEARCH("+",A41)-1),'Offensive Data'!$A$2:$A$134,'Offensive Data'!$D$2:$X$134)</f>
        <v>18.6</v>
      </c>
      <c r="D41" s="1">
        <v>29.6</v>
      </c>
      <c r="E41" s="1">
        <v>62.9</v>
      </c>
      <c r="F41" s="1">
        <v>225.6</v>
      </c>
      <c r="G41" s="1">
        <v>1.6</v>
      </c>
      <c r="H41" s="1">
        <v>39.6</v>
      </c>
      <c r="I41" s="1">
        <v>240.4</v>
      </c>
      <c r="J41" s="1">
        <v>6.1</v>
      </c>
      <c r="K41" s="1">
        <v>3.1</v>
      </c>
      <c r="L41" s="1">
        <v>69.3</v>
      </c>
      <c r="M41" s="1">
        <v>466.0</v>
      </c>
      <c r="N41" s="1">
        <v>6.7</v>
      </c>
      <c r="O41" s="1">
        <v>11.0</v>
      </c>
      <c r="P41" s="1">
        <v>10.9</v>
      </c>
      <c r="Q41" s="1">
        <v>1.6</v>
      </c>
      <c r="R41" s="1">
        <v>23.4</v>
      </c>
      <c r="S41" s="1">
        <v>5.4</v>
      </c>
      <c r="T41" s="1">
        <v>46.2</v>
      </c>
      <c r="U41" s="1">
        <v>0.4</v>
      </c>
      <c r="V41" s="1">
        <v>0.5</v>
      </c>
      <c r="W41" s="1">
        <v>0.9</v>
      </c>
      <c r="X41" s="1">
        <f t="array" ref="X41:AR41">XLOOKUP(MID(A41, SEARCH("+++", A41) + 3, LEN(A41)),'Defensive Data'!$A$2:$A$134,'Defensive Data'!$D$2:$X$134)</f>
        <v>21.3</v>
      </c>
      <c r="Y41" s="1">
        <v>33.7</v>
      </c>
      <c r="Z41" s="1">
        <v>63.2</v>
      </c>
      <c r="AA41" s="1">
        <v>259.4</v>
      </c>
      <c r="AB41" s="1">
        <v>1.6</v>
      </c>
      <c r="AC41" s="1">
        <v>34.4</v>
      </c>
      <c r="AD41" s="1">
        <v>170.0</v>
      </c>
      <c r="AE41" s="1">
        <v>4.9</v>
      </c>
      <c r="AF41" s="1">
        <v>1.8</v>
      </c>
      <c r="AG41" s="1">
        <v>68.1</v>
      </c>
      <c r="AH41" s="1">
        <v>429.4</v>
      </c>
      <c r="AI41" s="1">
        <v>6.3</v>
      </c>
      <c r="AJ41" s="1">
        <v>11.8</v>
      </c>
      <c r="AK41" s="1">
        <v>8.1</v>
      </c>
      <c r="AL41" s="1">
        <v>1.1</v>
      </c>
      <c r="AM41" s="1">
        <v>21.0</v>
      </c>
      <c r="AN41" s="1">
        <v>8.5</v>
      </c>
      <c r="AO41" s="1">
        <v>77.5</v>
      </c>
      <c r="AP41" s="1">
        <v>0.5</v>
      </c>
      <c r="AQ41" s="1">
        <v>1.0</v>
      </c>
      <c r="AR41" s="1">
        <v>1.5</v>
      </c>
    </row>
    <row r="42" ht="15.75" customHeight="1">
      <c r="A42" s="1" t="str">
        <f>CONCATENATE(Scores!A42,"+++",Scores!C42)</f>
        <v>Brigham Young+++Southern Illinois</v>
      </c>
      <c r="B42" s="1">
        <f>Scores!B42</f>
        <v>41</v>
      </c>
      <c r="C42" s="1">
        <f t="array" ref="C42:W42">XLOOKUP(LEFT(A42,SEARCH("+",A42)-1),'Offensive Data'!$A$2:$A$134,'Offensive Data'!$D$2:$X$134)</f>
        <v>16.7</v>
      </c>
      <c r="D42" s="1">
        <v>29.2</v>
      </c>
      <c r="E42" s="1">
        <v>57.3</v>
      </c>
      <c r="F42" s="1">
        <v>231.3</v>
      </c>
      <c r="G42" s="1">
        <v>1.6</v>
      </c>
      <c r="H42" s="1">
        <v>35.2</v>
      </c>
      <c r="I42" s="1">
        <v>161.0</v>
      </c>
      <c r="J42" s="1">
        <v>4.6</v>
      </c>
      <c r="K42" s="1">
        <v>1.5</v>
      </c>
      <c r="L42" s="1">
        <v>64.3</v>
      </c>
      <c r="M42" s="1">
        <v>392.3</v>
      </c>
      <c r="N42" s="1">
        <v>6.1</v>
      </c>
      <c r="O42" s="1">
        <v>10.8</v>
      </c>
      <c r="P42" s="1">
        <v>9.8</v>
      </c>
      <c r="Q42" s="1">
        <v>1.6</v>
      </c>
      <c r="R42" s="1">
        <v>22.2</v>
      </c>
      <c r="S42" s="1">
        <v>5.1</v>
      </c>
      <c r="T42" s="1">
        <v>43.2</v>
      </c>
      <c r="U42" s="1">
        <v>0.5</v>
      </c>
      <c r="V42" s="1">
        <v>1.1</v>
      </c>
      <c r="W42" s="1">
        <v>1.6</v>
      </c>
      <c r="X42" s="1" t="str">
        <f t="array" ref="X42">XLOOKUP(MID(A42, SEARCH("+++", A42) + 3, LEN(A42)),'Defensive Data'!$A$2:$A$134,'Defensive Data'!$D$2:$X$134)</f>
        <v>#N/A</v>
      </c>
    </row>
    <row r="43" ht="15.75" customHeight="1">
      <c r="A43" s="1" t="str">
        <f>CONCATENATE(Scores!A43,"+++",Scores!C43)</f>
        <v>California+++California-Davis</v>
      </c>
      <c r="B43" s="1">
        <f>Scores!B43</f>
        <v>31</v>
      </c>
      <c r="C43" s="1">
        <f t="array" ref="C43:W43">XLOOKUP(LEFT(A43,SEARCH("+",A43)-1),'Offensive Data'!$A$2:$A$134,'Offensive Data'!$D$2:$X$134)</f>
        <v>23.2</v>
      </c>
      <c r="D43" s="1">
        <v>35.7</v>
      </c>
      <c r="E43" s="1">
        <v>65.1</v>
      </c>
      <c r="F43" s="1">
        <v>258.6</v>
      </c>
      <c r="G43" s="1">
        <v>1.2</v>
      </c>
      <c r="H43" s="1">
        <v>34.2</v>
      </c>
      <c r="I43" s="1">
        <v>121.5</v>
      </c>
      <c r="J43" s="1">
        <v>3.6</v>
      </c>
      <c r="K43" s="1">
        <v>1.3</v>
      </c>
      <c r="L43" s="1">
        <v>69.8</v>
      </c>
      <c r="M43" s="1">
        <v>380.2</v>
      </c>
      <c r="N43" s="1">
        <v>5.4</v>
      </c>
      <c r="O43" s="1">
        <v>11.9</v>
      </c>
      <c r="P43" s="1">
        <v>7.1</v>
      </c>
      <c r="Q43" s="1">
        <v>1.9</v>
      </c>
      <c r="R43" s="1">
        <v>20.9</v>
      </c>
      <c r="S43" s="1">
        <v>7.4</v>
      </c>
      <c r="T43" s="1">
        <v>59.7</v>
      </c>
      <c r="U43" s="1">
        <v>0.3</v>
      </c>
      <c r="V43" s="1">
        <v>0.5</v>
      </c>
      <c r="W43" s="1">
        <v>0.8</v>
      </c>
      <c r="X43" s="1" t="str">
        <f t="array" ref="X43">XLOOKUP(MID(A43, SEARCH("+++", A43) + 3, LEN(A43)),'Defensive Data'!$A$2:$A$134,'Defensive Data'!$D$2:$X$134)</f>
        <v>#N/A</v>
      </c>
    </row>
    <row r="44" ht="15.75" customHeight="1">
      <c r="A44" s="1" t="str">
        <f>CONCATENATE(Scores!A44,"+++",Scores!C44)</f>
        <v>Cincinnati+++Towson</v>
      </c>
      <c r="B44" s="1">
        <f>Scores!B44</f>
        <v>38</v>
      </c>
      <c r="C44" s="1">
        <f t="array" ref="C44:W44">XLOOKUP(LEFT(A44,SEARCH("+",A44)-1),'Offensive Data'!$A$2:$A$134,'Offensive Data'!$D$2:$X$134)</f>
        <v>21</v>
      </c>
      <c r="D44" s="1">
        <v>32.9</v>
      </c>
      <c r="E44" s="1">
        <v>63.8</v>
      </c>
      <c r="F44" s="1">
        <v>236.5</v>
      </c>
      <c r="G44" s="1">
        <v>1.5</v>
      </c>
      <c r="H44" s="1">
        <v>35.6</v>
      </c>
      <c r="I44" s="1">
        <v>184.1</v>
      </c>
      <c r="J44" s="1">
        <v>5.2</v>
      </c>
      <c r="K44" s="1">
        <v>1.6</v>
      </c>
      <c r="L44" s="1">
        <v>68.5</v>
      </c>
      <c r="M44" s="1">
        <v>420.6</v>
      </c>
      <c r="N44" s="1">
        <v>6.1</v>
      </c>
      <c r="O44" s="1">
        <v>11.7</v>
      </c>
      <c r="P44" s="1">
        <v>9.0</v>
      </c>
      <c r="Q44" s="1">
        <v>1.4</v>
      </c>
      <c r="R44" s="1">
        <v>22.1</v>
      </c>
      <c r="S44" s="1">
        <v>5.3</v>
      </c>
      <c r="T44" s="1">
        <v>44.4</v>
      </c>
      <c r="U44" s="1">
        <v>0.9</v>
      </c>
      <c r="V44" s="1">
        <v>0.6</v>
      </c>
      <c r="W44" s="1">
        <v>1.5</v>
      </c>
      <c r="X44" s="1" t="str">
        <f t="array" ref="X44">XLOOKUP(MID(A44, SEARCH("+++", A44) + 3, LEN(A44)),'Defensive Data'!$A$2:$A$134,'Defensive Data'!$D$2:$X$134)</f>
        <v>#N/A</v>
      </c>
    </row>
    <row r="45" ht="15.75" customHeight="1">
      <c r="A45" s="1" t="str">
        <f>CONCATENATE(Scores!A45,"+++",Scores!C45)</f>
        <v>East Carolina+++Norfolk State</v>
      </c>
      <c r="B45" s="1">
        <f>Scores!B45</f>
        <v>42</v>
      </c>
      <c r="C45" s="1">
        <f t="array" ref="C45:W45">XLOOKUP(LEFT(A45,SEARCH("+",A45)-1),'Offensive Data'!$A$2:$A$134,'Offensive Data'!$D$2:$X$134)</f>
        <v>19.8</v>
      </c>
      <c r="D45" s="1">
        <v>32.9</v>
      </c>
      <c r="E45" s="1">
        <v>60.3</v>
      </c>
      <c r="F45" s="1">
        <v>264.0</v>
      </c>
      <c r="G45" s="1">
        <v>2.0</v>
      </c>
      <c r="H45" s="1">
        <v>36.2</v>
      </c>
      <c r="I45" s="1">
        <v>172.4</v>
      </c>
      <c r="J45" s="1">
        <v>4.8</v>
      </c>
      <c r="K45" s="1">
        <v>1.8</v>
      </c>
      <c r="L45" s="1">
        <v>69.2</v>
      </c>
      <c r="M45" s="1">
        <v>436.4</v>
      </c>
      <c r="N45" s="1">
        <v>6.3</v>
      </c>
      <c r="O45" s="1">
        <v>11.6</v>
      </c>
      <c r="P45" s="1">
        <v>8.7</v>
      </c>
      <c r="Q45" s="1">
        <v>1.7</v>
      </c>
      <c r="R45" s="1">
        <v>22.0</v>
      </c>
      <c r="S45" s="1">
        <v>7.6</v>
      </c>
      <c r="T45" s="1">
        <v>63.6</v>
      </c>
      <c r="U45" s="1">
        <v>0.5</v>
      </c>
      <c r="V45" s="1">
        <v>1.8</v>
      </c>
      <c r="W45" s="1">
        <v>2.3</v>
      </c>
      <c r="X45" s="1" t="str">
        <f t="array" ref="X45">XLOOKUP(MID(A45, SEARCH("+++", A45) + 3, LEN(A45)),'Defensive Data'!$A$2:$A$134,'Defensive Data'!$D$2:$X$134)</f>
        <v>#N/A</v>
      </c>
    </row>
    <row r="46" ht="15.75" customHeight="1">
      <c r="A46" s="1" t="str">
        <f>CONCATENATE(Scores!A46,"+++",Scores!C46)</f>
        <v>Eastern Michigan+++Massachusetts</v>
      </c>
      <c r="B46" s="1">
        <f>Scores!B46</f>
        <v>28</v>
      </c>
      <c r="C46" s="1">
        <f t="array" ref="C46:W46">XLOOKUP(LEFT(A46,SEARCH("+",A46)-1),'Offensive Data'!$A$2:$A$134,'Offensive Data'!$D$2:$X$134)</f>
        <v>20.8</v>
      </c>
      <c r="D46" s="1">
        <v>34.7</v>
      </c>
      <c r="E46" s="1">
        <v>59.9</v>
      </c>
      <c r="F46" s="1">
        <v>236.0</v>
      </c>
      <c r="G46" s="1">
        <v>1.4</v>
      </c>
      <c r="H46" s="1">
        <v>39.8</v>
      </c>
      <c r="I46" s="1">
        <v>141.8</v>
      </c>
      <c r="J46" s="1">
        <v>3.6</v>
      </c>
      <c r="K46" s="1">
        <v>1.4</v>
      </c>
      <c r="L46" s="1">
        <v>74.4</v>
      </c>
      <c r="M46" s="1">
        <v>377.8</v>
      </c>
      <c r="N46" s="1">
        <v>5.1</v>
      </c>
      <c r="O46" s="1">
        <v>10.8</v>
      </c>
      <c r="P46" s="1">
        <v>8.5</v>
      </c>
      <c r="Q46" s="1">
        <v>2.3</v>
      </c>
      <c r="R46" s="1">
        <v>21.5</v>
      </c>
      <c r="S46" s="1">
        <v>6.4</v>
      </c>
      <c r="T46" s="1">
        <v>62.0</v>
      </c>
      <c r="U46" s="1">
        <v>0.6</v>
      </c>
      <c r="V46" s="1">
        <v>0.8</v>
      </c>
      <c r="W46" s="1">
        <v>1.4</v>
      </c>
      <c r="X46" s="1">
        <f t="array" ref="X46:AR46">XLOOKUP(MID(A46, SEARCH("+++", A46) + 3, LEN(A46)),'Defensive Data'!$A$2:$A$134,'Defensive Data'!$D$2:$X$134)</f>
        <v>13</v>
      </c>
      <c r="Y46" s="1">
        <v>22.4</v>
      </c>
      <c r="Z46" s="1">
        <v>58.0</v>
      </c>
      <c r="AA46" s="1">
        <v>176.6</v>
      </c>
      <c r="AB46" s="1">
        <v>1.6</v>
      </c>
      <c r="AC46" s="1">
        <v>37.8</v>
      </c>
      <c r="AD46" s="1">
        <v>197.9</v>
      </c>
      <c r="AE46" s="1">
        <v>5.2</v>
      </c>
      <c r="AF46" s="1">
        <v>2.7</v>
      </c>
      <c r="AG46" s="1">
        <v>60.3</v>
      </c>
      <c r="AH46" s="1">
        <v>374.5</v>
      </c>
      <c r="AI46" s="1">
        <v>6.2</v>
      </c>
      <c r="AJ46" s="1">
        <v>7.4</v>
      </c>
      <c r="AK46" s="1">
        <v>10.6</v>
      </c>
      <c r="AL46" s="1">
        <v>2.3</v>
      </c>
      <c r="AM46" s="1">
        <v>20.3</v>
      </c>
      <c r="AN46" s="1">
        <v>6.0</v>
      </c>
      <c r="AO46" s="1">
        <v>53.3</v>
      </c>
      <c r="AP46" s="1">
        <v>0.3</v>
      </c>
      <c r="AQ46" s="1">
        <v>0.5</v>
      </c>
      <c r="AR46" s="1">
        <v>0.8</v>
      </c>
    </row>
    <row r="47" ht="15.75" customHeight="1">
      <c r="A47" s="1" t="str">
        <f>CONCATENATE(Scores!A47,"+++",Scores!C47)</f>
        <v>Georgia+++Clemson</v>
      </c>
      <c r="B47" s="1">
        <f>Scores!B47</f>
        <v>34</v>
      </c>
      <c r="C47" s="1">
        <f t="array" ref="C47:W47">XLOOKUP(LEFT(A47,SEARCH("+",A47)-1),'Offensive Data'!$A$2:$A$134,'Offensive Data'!$D$2:$X$134)</f>
        <v>24</v>
      </c>
      <c r="D47" s="1">
        <v>36.6</v>
      </c>
      <c r="E47" s="1">
        <v>65.5</v>
      </c>
      <c r="F47" s="1">
        <v>281.0</v>
      </c>
      <c r="G47" s="1">
        <v>2.1</v>
      </c>
      <c r="H47" s="1">
        <v>30.6</v>
      </c>
      <c r="I47" s="1">
        <v>124.4</v>
      </c>
      <c r="J47" s="1">
        <v>4.1</v>
      </c>
      <c r="K47" s="1">
        <v>1.7</v>
      </c>
      <c r="L47" s="1">
        <v>67.3</v>
      </c>
      <c r="M47" s="1">
        <v>405.4</v>
      </c>
      <c r="N47" s="1">
        <v>6.0</v>
      </c>
      <c r="O47" s="1">
        <v>12.9</v>
      </c>
      <c r="P47" s="1">
        <v>7.3</v>
      </c>
      <c r="Q47" s="1">
        <v>1.6</v>
      </c>
      <c r="R47" s="1">
        <v>21.9</v>
      </c>
      <c r="S47" s="1">
        <v>5.7</v>
      </c>
      <c r="T47" s="1">
        <v>53.6</v>
      </c>
      <c r="U47" s="1">
        <v>0.5</v>
      </c>
      <c r="V47" s="1">
        <v>0.9</v>
      </c>
      <c r="W47" s="1">
        <v>1.4</v>
      </c>
      <c r="X47" s="1">
        <f t="array" ref="X47:AR47">XLOOKUP(MID(A47, SEARCH("+++", A47) + 3, LEN(A47)),'Defensive Data'!$A$2:$A$134,'Defensive Data'!$D$2:$X$134)</f>
        <v>18.8</v>
      </c>
      <c r="Y47" s="1">
        <v>33.4</v>
      </c>
      <c r="Z47" s="1">
        <v>56.3</v>
      </c>
      <c r="AA47" s="1">
        <v>213.5</v>
      </c>
      <c r="AB47" s="1">
        <v>1.6</v>
      </c>
      <c r="AC47" s="1">
        <v>34.1</v>
      </c>
      <c r="AD47" s="1">
        <v>160.6</v>
      </c>
      <c r="AE47" s="1">
        <v>4.7</v>
      </c>
      <c r="AF47" s="1">
        <v>1.3</v>
      </c>
      <c r="AG47" s="1">
        <v>67.4</v>
      </c>
      <c r="AH47" s="1">
        <v>374.1</v>
      </c>
      <c r="AI47" s="1">
        <v>5.5</v>
      </c>
      <c r="AJ47" s="1">
        <v>9.5</v>
      </c>
      <c r="AK47" s="1">
        <v>8.4</v>
      </c>
      <c r="AL47" s="1">
        <v>2.6</v>
      </c>
      <c r="AM47" s="1">
        <v>20.5</v>
      </c>
      <c r="AN47" s="1">
        <v>6.1</v>
      </c>
      <c r="AO47" s="1">
        <v>55.1</v>
      </c>
      <c r="AP47" s="1">
        <v>0.7</v>
      </c>
      <c r="AQ47" s="1">
        <v>1.1</v>
      </c>
      <c r="AR47" s="1">
        <v>1.9</v>
      </c>
    </row>
    <row r="48" ht="15.75" customHeight="1">
      <c r="A48" s="1" t="str">
        <f>CONCATENATE(Scores!A48,"+++",Scores!C48)</f>
        <v>Georgia Tech+++Georgia State</v>
      </c>
      <c r="B48" s="1">
        <f>Scores!B48</f>
        <v>35</v>
      </c>
      <c r="C48" s="1">
        <f t="array" ref="C48:W48">XLOOKUP(LEFT(A48,SEARCH("+",A48)-1),'Offensive Data'!$A$2:$A$134,'Offensive Data'!$D$2:$X$134)</f>
        <v>20.7</v>
      </c>
      <c r="D48" s="1">
        <v>31.7</v>
      </c>
      <c r="E48" s="1">
        <v>65.3</v>
      </c>
      <c r="F48" s="1">
        <v>237.5</v>
      </c>
      <c r="G48" s="1">
        <v>1.3</v>
      </c>
      <c r="H48" s="1">
        <v>37.8</v>
      </c>
      <c r="I48" s="1">
        <v>187.0</v>
      </c>
      <c r="J48" s="1">
        <v>5.0</v>
      </c>
      <c r="K48" s="1">
        <v>2.2</v>
      </c>
      <c r="L48" s="1">
        <v>69.5</v>
      </c>
      <c r="M48" s="1">
        <v>424.5</v>
      </c>
      <c r="N48" s="1">
        <v>6.1</v>
      </c>
      <c r="O48" s="1">
        <v>10.6</v>
      </c>
      <c r="P48" s="1">
        <v>9.7</v>
      </c>
      <c r="Q48" s="1">
        <v>1.3</v>
      </c>
      <c r="R48" s="1">
        <v>21.6</v>
      </c>
      <c r="S48" s="1">
        <v>5.4</v>
      </c>
      <c r="T48" s="1">
        <v>43.3</v>
      </c>
      <c r="U48" s="1">
        <v>0.2</v>
      </c>
      <c r="V48" s="1">
        <v>0.5</v>
      </c>
      <c r="W48" s="1">
        <v>0.8</v>
      </c>
      <c r="X48" s="1">
        <f t="array" ref="X48:AR48">XLOOKUP(MID(A48, SEARCH("+++", A48) + 3, LEN(A48)),'Defensive Data'!$A$2:$A$134,'Defensive Data'!$D$2:$X$134)</f>
        <v>17</v>
      </c>
      <c r="Y48" s="1">
        <v>26.9</v>
      </c>
      <c r="Z48" s="1">
        <v>63.2</v>
      </c>
      <c r="AA48" s="1">
        <v>208.3</v>
      </c>
      <c r="AB48" s="1">
        <v>1.8</v>
      </c>
      <c r="AC48" s="1">
        <v>40.3</v>
      </c>
      <c r="AD48" s="1">
        <v>210.3</v>
      </c>
      <c r="AE48" s="1">
        <v>5.2</v>
      </c>
      <c r="AF48" s="1">
        <v>2.3</v>
      </c>
      <c r="AG48" s="1">
        <v>67.2</v>
      </c>
      <c r="AH48" s="1">
        <v>418.7</v>
      </c>
      <c r="AI48" s="1">
        <v>6.2</v>
      </c>
      <c r="AJ48" s="1">
        <v>9.8</v>
      </c>
      <c r="AK48" s="1">
        <v>10.8</v>
      </c>
      <c r="AL48" s="1">
        <v>1.5</v>
      </c>
      <c r="AM48" s="1">
        <v>22.1</v>
      </c>
      <c r="AN48" s="1">
        <v>6.6</v>
      </c>
      <c r="AO48" s="1">
        <v>58.3</v>
      </c>
      <c r="AP48" s="1">
        <v>0.7</v>
      </c>
      <c r="AQ48" s="1">
        <v>0.8</v>
      </c>
      <c r="AR48" s="1">
        <v>1.4</v>
      </c>
    </row>
    <row r="49" ht="15.75" customHeight="1">
      <c r="A49" s="1" t="str">
        <f>CONCATENATE(Scores!A49,"+++",Scores!C49)</f>
        <v>Indiana+++Florida International</v>
      </c>
      <c r="B49" s="1">
        <f>Scores!B49</f>
        <v>31</v>
      </c>
      <c r="C49" s="1">
        <f t="array" ref="C49:W49">XLOOKUP(LEFT(A49,SEARCH("+",A49)-1),'Offensive Data'!$A$2:$A$134,'Offensive Data'!$D$2:$X$134)</f>
        <v>18.9</v>
      </c>
      <c r="D49" s="1">
        <v>27.8</v>
      </c>
      <c r="E49" s="1">
        <v>68.1</v>
      </c>
      <c r="F49" s="1">
        <v>261.3</v>
      </c>
      <c r="G49" s="1">
        <v>2.5</v>
      </c>
      <c r="H49" s="1">
        <v>37.8</v>
      </c>
      <c r="I49" s="1">
        <v>165.1</v>
      </c>
      <c r="J49" s="1">
        <v>4.4</v>
      </c>
      <c r="K49" s="1">
        <v>2.8</v>
      </c>
      <c r="L49" s="1">
        <v>65.5</v>
      </c>
      <c r="M49" s="1">
        <v>426.4</v>
      </c>
      <c r="N49" s="1">
        <v>6.5</v>
      </c>
      <c r="O49" s="1">
        <v>11.9</v>
      </c>
      <c r="P49" s="1">
        <v>10.0</v>
      </c>
      <c r="Q49" s="1">
        <v>1.6</v>
      </c>
      <c r="R49" s="1">
        <v>23.5</v>
      </c>
      <c r="S49" s="1">
        <v>4.8</v>
      </c>
      <c r="T49" s="1">
        <v>43.9</v>
      </c>
      <c r="U49" s="1">
        <v>0.2</v>
      </c>
      <c r="V49" s="1">
        <v>0.5</v>
      </c>
      <c r="W49" s="1">
        <v>0.7</v>
      </c>
      <c r="X49" s="1">
        <f t="array" ref="X49:AR49">XLOOKUP(MID(A49, SEARCH("+++", A49) + 3, LEN(A49)),'Defensive Data'!$A$2:$A$134,'Defensive Data'!$D$2:$X$134)</f>
        <v>17.6</v>
      </c>
      <c r="Y49" s="1">
        <v>29.8</v>
      </c>
      <c r="Z49" s="1">
        <v>59.1</v>
      </c>
      <c r="AA49" s="1">
        <v>179.6</v>
      </c>
      <c r="AB49" s="1">
        <v>0.8</v>
      </c>
      <c r="AC49" s="1">
        <v>41.0</v>
      </c>
      <c r="AD49" s="1">
        <v>191.3</v>
      </c>
      <c r="AE49" s="1">
        <v>4.7</v>
      </c>
      <c r="AF49" s="1">
        <v>2.3</v>
      </c>
      <c r="AG49" s="1">
        <v>70.8</v>
      </c>
      <c r="AH49" s="1">
        <v>370.9</v>
      </c>
      <c r="AI49" s="1">
        <v>5.2</v>
      </c>
      <c r="AJ49" s="1">
        <v>8.0</v>
      </c>
      <c r="AK49" s="1">
        <v>10.3</v>
      </c>
      <c r="AL49" s="1">
        <v>1.4</v>
      </c>
      <c r="AM49" s="1">
        <v>19.7</v>
      </c>
      <c r="AN49" s="1">
        <v>6.6</v>
      </c>
      <c r="AO49" s="1">
        <v>54.8</v>
      </c>
      <c r="AP49" s="1">
        <v>0.4</v>
      </c>
      <c r="AQ49" s="1">
        <v>0.9</v>
      </c>
      <c r="AR49" s="1">
        <v>1.3</v>
      </c>
    </row>
    <row r="50" ht="15.75" customHeight="1">
      <c r="A50" s="1" t="str">
        <f>CONCATENATE(Scores!A50,"+++",Scores!C50)</f>
        <v>Iowa+++Illinois State</v>
      </c>
      <c r="B50" s="1">
        <f>Scores!B50</f>
        <v>40</v>
      </c>
      <c r="C50" s="1">
        <f t="array" ref="C50:W50">XLOOKUP(LEFT(A50,SEARCH("+",A50)-1),'Offensive Data'!$A$2:$A$134,'Offensive Data'!$D$2:$X$134)</f>
        <v>12.5</v>
      </c>
      <c r="D50" s="1">
        <v>20.0</v>
      </c>
      <c r="E50" s="1">
        <v>62.7</v>
      </c>
      <c r="F50" s="1">
        <v>131.6</v>
      </c>
      <c r="G50" s="1">
        <v>0.8</v>
      </c>
      <c r="H50" s="1">
        <v>38.5</v>
      </c>
      <c r="I50" s="1">
        <v>197.2</v>
      </c>
      <c r="J50" s="1">
        <v>5.1</v>
      </c>
      <c r="K50" s="1">
        <v>2.3</v>
      </c>
      <c r="L50" s="1">
        <v>58.5</v>
      </c>
      <c r="M50" s="1">
        <v>328.8</v>
      </c>
      <c r="N50" s="1">
        <v>5.6</v>
      </c>
      <c r="O50" s="1">
        <v>6.3</v>
      </c>
      <c r="P50" s="1">
        <v>9.0</v>
      </c>
      <c r="Q50" s="1">
        <v>1.4</v>
      </c>
      <c r="R50" s="1">
        <v>16.7</v>
      </c>
      <c r="S50" s="1">
        <v>3.2</v>
      </c>
      <c r="T50" s="1">
        <v>29.8</v>
      </c>
      <c r="U50" s="1">
        <v>0.3</v>
      </c>
      <c r="V50" s="1">
        <v>0.6</v>
      </c>
      <c r="W50" s="1">
        <v>0.9</v>
      </c>
      <c r="X50" s="1" t="str">
        <f t="array" ref="X50">XLOOKUP(MID(A50, SEARCH("+++", A50) + 3, LEN(A50)),'Defensive Data'!$A$2:$A$134,'Defensive Data'!$D$2:$X$134)</f>
        <v>#N/A</v>
      </c>
    </row>
    <row r="51" ht="15.75" customHeight="1">
      <c r="A51" s="1" t="str">
        <f>CONCATENATE(Scores!A51,"+++",Scores!C51)</f>
        <v>Iowa State+++North Dakota</v>
      </c>
      <c r="B51" s="1">
        <f>Scores!B51</f>
        <v>21</v>
      </c>
      <c r="C51" s="1">
        <f t="array" ref="C51:W51">XLOOKUP(LEFT(A51,SEARCH("+",A51)-1),'Offensive Data'!$A$2:$A$134,'Offensive Data'!$D$2:$X$134)</f>
        <v>19.8</v>
      </c>
      <c r="D51" s="1">
        <v>33.8</v>
      </c>
      <c r="E51" s="1">
        <v>58.6</v>
      </c>
      <c r="F51" s="1">
        <v>255.7</v>
      </c>
      <c r="G51" s="1">
        <v>1.8</v>
      </c>
      <c r="H51" s="1">
        <v>36.9</v>
      </c>
      <c r="I51" s="1">
        <v>160.5</v>
      </c>
      <c r="J51" s="1">
        <v>4.4</v>
      </c>
      <c r="K51" s="1">
        <v>1.9</v>
      </c>
      <c r="L51" s="1">
        <v>70.6</v>
      </c>
      <c r="M51" s="1">
        <v>416.2</v>
      </c>
      <c r="N51" s="1">
        <v>5.9</v>
      </c>
      <c r="O51" s="1">
        <v>11.4</v>
      </c>
      <c r="P51" s="1">
        <v>8.7</v>
      </c>
      <c r="Q51" s="1">
        <v>2.5</v>
      </c>
      <c r="R51" s="1">
        <v>22.6</v>
      </c>
      <c r="S51" s="1">
        <v>3.8</v>
      </c>
      <c r="T51" s="1">
        <v>28.0</v>
      </c>
      <c r="U51" s="1">
        <v>0.4</v>
      </c>
      <c r="V51" s="1">
        <v>0.7</v>
      </c>
      <c r="W51" s="1">
        <v>1.1</v>
      </c>
      <c r="X51" s="1" t="str">
        <f t="array" ref="X51">XLOOKUP(MID(A51, SEARCH("+++", A51) + 3, LEN(A51)),'Defensive Data'!$A$2:$A$134,'Defensive Data'!$D$2:$X$134)</f>
        <v>#N/A</v>
      </c>
    </row>
    <row r="52" ht="15.75" customHeight="1">
      <c r="A52" s="1" t="str">
        <f>CONCATENATE(Scores!A52,"+++",Scores!C52)</f>
        <v>James Madison+++Charlotte</v>
      </c>
      <c r="B52" s="1">
        <f>Scores!B52</f>
        <v>30</v>
      </c>
      <c r="C52" s="1">
        <f t="array" ref="C52:W52">XLOOKUP(LEFT(A52,SEARCH("+",A52)-1),'Offensive Data'!$A$2:$A$134,'Offensive Data'!$D$2:$X$134)</f>
        <v>17.8</v>
      </c>
      <c r="D52" s="1">
        <v>29.4</v>
      </c>
      <c r="E52" s="1">
        <v>60.7</v>
      </c>
      <c r="F52" s="1">
        <v>216.1</v>
      </c>
      <c r="G52" s="1">
        <v>2.2</v>
      </c>
      <c r="H52" s="1">
        <v>40.0</v>
      </c>
      <c r="I52" s="1">
        <v>191.5</v>
      </c>
      <c r="J52" s="1">
        <v>4.8</v>
      </c>
      <c r="K52" s="1">
        <v>1.5</v>
      </c>
      <c r="L52" s="1">
        <v>69.4</v>
      </c>
      <c r="M52" s="1">
        <v>407.6</v>
      </c>
      <c r="N52" s="1">
        <v>5.9</v>
      </c>
      <c r="O52" s="1">
        <v>9.4</v>
      </c>
      <c r="P52" s="1">
        <v>10.0</v>
      </c>
      <c r="Q52" s="1">
        <v>1.3</v>
      </c>
      <c r="R52" s="1">
        <v>20.7</v>
      </c>
      <c r="S52" s="1">
        <v>7.0</v>
      </c>
      <c r="T52" s="1">
        <v>54.5</v>
      </c>
      <c r="U52" s="1">
        <v>0.4</v>
      </c>
      <c r="V52" s="1">
        <v>0.3</v>
      </c>
      <c r="W52" s="1">
        <v>0.7</v>
      </c>
      <c r="X52" s="1">
        <f t="array" ref="X52:AR52">XLOOKUP(MID(A52, SEARCH("+++", A52) + 3, LEN(A52)),'Defensive Data'!$A$2:$A$134,'Defensive Data'!$D$2:$X$134)</f>
        <v>17.2</v>
      </c>
      <c r="Y52" s="1">
        <v>28.6</v>
      </c>
      <c r="Z52" s="1">
        <v>60.1</v>
      </c>
      <c r="AA52" s="1">
        <v>222.8</v>
      </c>
      <c r="AB52" s="1">
        <v>1.5</v>
      </c>
      <c r="AC52" s="1">
        <v>40.3</v>
      </c>
      <c r="AD52" s="1">
        <v>210.3</v>
      </c>
      <c r="AE52" s="1">
        <v>5.2</v>
      </c>
      <c r="AF52" s="1">
        <v>2.4</v>
      </c>
      <c r="AG52" s="1">
        <v>68.8</v>
      </c>
      <c r="AH52" s="1">
        <v>433.2</v>
      </c>
      <c r="AI52" s="1">
        <v>6.3</v>
      </c>
      <c r="AJ52" s="1">
        <v>9.2</v>
      </c>
      <c r="AK52" s="1">
        <v>11.5</v>
      </c>
      <c r="AL52" s="1">
        <v>2.4</v>
      </c>
      <c r="AM52" s="1">
        <v>23.1</v>
      </c>
      <c r="AN52" s="1">
        <v>6.6</v>
      </c>
      <c r="AO52" s="1">
        <v>56.8</v>
      </c>
      <c r="AP52" s="1">
        <v>0.2</v>
      </c>
      <c r="AQ52" s="1">
        <v>0.8</v>
      </c>
      <c r="AR52" s="1">
        <v>1.0</v>
      </c>
    </row>
    <row r="53" ht="15.75" customHeight="1">
      <c r="A53" s="1" t="str">
        <f>CONCATENATE(Scores!A53,"+++",Scores!C53)</f>
        <v>Kansas State+++Tennessee-Martin</v>
      </c>
      <c r="B53" s="1">
        <f>Scores!B53</f>
        <v>41</v>
      </c>
      <c r="C53" s="1">
        <f t="array" ref="C53:W53">XLOOKUP(LEFT(A53,SEARCH("+",A53)-1),'Offensive Data'!$A$2:$A$134,'Offensive Data'!$D$2:$X$134)</f>
        <v>17.1</v>
      </c>
      <c r="D53" s="1">
        <v>29.5</v>
      </c>
      <c r="E53" s="1">
        <v>58.0</v>
      </c>
      <c r="F53" s="1">
        <v>211.4</v>
      </c>
      <c r="G53" s="1">
        <v>1.9</v>
      </c>
      <c r="H53" s="1">
        <v>35.5</v>
      </c>
      <c r="I53" s="1">
        <v>215.5</v>
      </c>
      <c r="J53" s="1">
        <v>6.1</v>
      </c>
      <c r="K53" s="1">
        <v>1.6</v>
      </c>
      <c r="L53" s="1">
        <v>64.9</v>
      </c>
      <c r="M53" s="1">
        <v>426.8</v>
      </c>
      <c r="N53" s="1">
        <v>6.6</v>
      </c>
      <c r="O53" s="1">
        <v>9.2</v>
      </c>
      <c r="P53" s="1">
        <v>10.2</v>
      </c>
      <c r="Q53" s="1">
        <v>0.8</v>
      </c>
      <c r="R53" s="1">
        <v>20.3</v>
      </c>
      <c r="S53" s="1">
        <v>5.5</v>
      </c>
      <c r="T53" s="1">
        <v>45.7</v>
      </c>
      <c r="U53" s="1">
        <v>0.5</v>
      </c>
      <c r="V53" s="1">
        <v>0.8</v>
      </c>
      <c r="W53" s="1">
        <v>1.2</v>
      </c>
      <c r="X53" s="1" t="str">
        <f t="array" ref="X53">XLOOKUP(MID(A53, SEARCH("+++", A53) + 3, LEN(A53)),'Defensive Data'!$A$2:$A$134,'Defensive Data'!$D$2:$X$134)</f>
        <v>#N/A</v>
      </c>
    </row>
    <row r="54" ht="15.75" customHeight="1">
      <c r="A54" s="1" t="str">
        <f>CONCATENATE(Scores!A54,"+++",Scores!C54)</f>
        <v>Kentucky+++Southern Mississippi</v>
      </c>
      <c r="B54" s="1">
        <f>Scores!B54</f>
        <v>31</v>
      </c>
      <c r="C54" s="1">
        <f t="array" ref="C54:W54">XLOOKUP(LEFT(A54,SEARCH("+",A54)-1),'Offensive Data'!$A$2:$A$134,'Offensive Data'!$D$2:$X$134)</f>
        <v>13.9</v>
      </c>
      <c r="D54" s="1">
        <v>26.0</v>
      </c>
      <c r="E54" s="1">
        <v>53.5</v>
      </c>
      <c r="F54" s="1">
        <v>184.8</v>
      </c>
      <c r="G54" s="1">
        <v>1.3</v>
      </c>
      <c r="H54" s="1">
        <v>36.9</v>
      </c>
      <c r="I54" s="1">
        <v>145.6</v>
      </c>
      <c r="J54" s="1">
        <v>3.9</v>
      </c>
      <c r="K54" s="1">
        <v>0.9</v>
      </c>
      <c r="L54" s="1">
        <v>62.9</v>
      </c>
      <c r="M54" s="1">
        <v>330.4</v>
      </c>
      <c r="N54" s="1">
        <v>5.3</v>
      </c>
      <c r="O54" s="1">
        <v>7.6</v>
      </c>
      <c r="P54" s="1">
        <v>9.6</v>
      </c>
      <c r="Q54" s="1">
        <v>2.3</v>
      </c>
      <c r="R54" s="1">
        <v>19.4</v>
      </c>
      <c r="S54" s="1">
        <v>6.3</v>
      </c>
      <c r="T54" s="1">
        <v>52.1</v>
      </c>
      <c r="U54" s="1">
        <v>0.5</v>
      </c>
      <c r="V54" s="1">
        <v>1.4</v>
      </c>
      <c r="W54" s="1">
        <v>1.9</v>
      </c>
      <c r="X54" s="1">
        <f t="array" ref="X54:AR54">XLOOKUP(MID(A54, SEARCH("+++", A54) + 3, LEN(A54)),'Defensive Data'!$A$2:$A$134,'Defensive Data'!$D$2:$X$134)</f>
        <v>17.4</v>
      </c>
      <c r="Y54" s="1">
        <v>26.8</v>
      </c>
      <c r="Z54" s="1">
        <v>65.1</v>
      </c>
      <c r="AA54" s="1">
        <v>216.5</v>
      </c>
      <c r="AB54" s="1">
        <v>2.0</v>
      </c>
      <c r="AC54" s="1">
        <v>39.5</v>
      </c>
      <c r="AD54" s="1">
        <v>232.7</v>
      </c>
      <c r="AE54" s="1">
        <v>5.9</v>
      </c>
      <c r="AF54" s="1">
        <v>2.6</v>
      </c>
      <c r="AG54" s="1">
        <v>66.3</v>
      </c>
      <c r="AH54" s="1">
        <v>449.2</v>
      </c>
      <c r="AI54" s="1">
        <v>6.8</v>
      </c>
      <c r="AJ54" s="1">
        <v>9.7</v>
      </c>
      <c r="AK54" s="1">
        <v>10.9</v>
      </c>
      <c r="AL54" s="1">
        <v>1.2</v>
      </c>
      <c r="AM54" s="1">
        <v>21.8</v>
      </c>
      <c r="AN54" s="1">
        <v>6.2</v>
      </c>
      <c r="AO54" s="1">
        <v>54.9</v>
      </c>
      <c r="AP54" s="1">
        <v>0.3</v>
      </c>
      <c r="AQ54" s="1">
        <v>0.5</v>
      </c>
      <c r="AR54" s="1">
        <v>0.8</v>
      </c>
    </row>
    <row r="55" ht="15.75" customHeight="1">
      <c r="A55" s="1" t="str">
        <f>CONCATENATE(Scores!A55,"+++",Scores!C55)</f>
        <v>Liberty+++Campbell</v>
      </c>
      <c r="B55" s="1">
        <f>Scores!B55</f>
        <v>41</v>
      </c>
      <c r="C55" s="1">
        <f t="array" ref="C55:W55">XLOOKUP(LEFT(A55,SEARCH("+",A55)-1),'Offensive Data'!$A$2:$A$134,'Offensive Data'!$D$2:$X$134)</f>
        <v>13.1</v>
      </c>
      <c r="D55" s="1">
        <v>24.1</v>
      </c>
      <c r="E55" s="1">
        <v>54.3</v>
      </c>
      <c r="F55" s="1">
        <v>167.8</v>
      </c>
      <c r="G55" s="1">
        <v>1.3</v>
      </c>
      <c r="H55" s="1">
        <v>45.2</v>
      </c>
      <c r="I55" s="1">
        <v>250.7</v>
      </c>
      <c r="J55" s="1">
        <v>5.5</v>
      </c>
      <c r="K55" s="1">
        <v>2.3</v>
      </c>
      <c r="L55" s="1">
        <v>69.3</v>
      </c>
      <c r="M55" s="1">
        <v>418.5</v>
      </c>
      <c r="N55" s="1">
        <v>6.0</v>
      </c>
      <c r="O55" s="1">
        <v>7.5</v>
      </c>
      <c r="P55" s="1">
        <v>13.8</v>
      </c>
      <c r="Q55" s="1">
        <v>1.8</v>
      </c>
      <c r="R55" s="1">
        <v>23.1</v>
      </c>
      <c r="S55" s="1">
        <v>6.8</v>
      </c>
      <c r="T55" s="1">
        <v>66.1</v>
      </c>
      <c r="U55" s="1">
        <v>0.9</v>
      </c>
      <c r="V55" s="1">
        <v>0.6</v>
      </c>
      <c r="W55" s="1">
        <v>1.5</v>
      </c>
      <c r="X55" s="1" t="str">
        <f t="array" ref="X55">XLOOKUP(MID(A55, SEARCH("+++", A55) + 3, LEN(A55)),'Defensive Data'!$A$2:$A$134,'Defensive Data'!$D$2:$X$134)</f>
        <v>#N/A</v>
      </c>
    </row>
    <row r="56" ht="15.75" customHeight="1">
      <c r="A56" s="1" t="str">
        <f>CONCATENATE(Scores!A56,"+++",Scores!C56)</f>
        <v>Louisiana+++Grambling State</v>
      </c>
      <c r="B56" s="1">
        <f>Scores!B56</f>
        <v>40</v>
      </c>
      <c r="C56" s="1">
        <f t="array" ref="C56:W56">XLOOKUP(LEFT(A56,SEARCH("+",A56)-1),'Offensive Data'!$A$2:$A$134,'Offensive Data'!$D$2:$X$134)</f>
        <v>19.2</v>
      </c>
      <c r="D56" s="1">
        <v>29.4</v>
      </c>
      <c r="E56" s="1">
        <v>65.3</v>
      </c>
      <c r="F56" s="1">
        <v>248.7</v>
      </c>
      <c r="G56" s="1">
        <v>1.6</v>
      </c>
      <c r="H56" s="1">
        <v>34.6</v>
      </c>
      <c r="I56" s="1">
        <v>166.4</v>
      </c>
      <c r="J56" s="1">
        <v>4.8</v>
      </c>
      <c r="K56" s="1">
        <v>1.9</v>
      </c>
      <c r="L56" s="1">
        <v>64.0</v>
      </c>
      <c r="M56" s="1">
        <v>415.1</v>
      </c>
      <c r="N56" s="1">
        <v>6.5</v>
      </c>
      <c r="O56" s="1">
        <v>10.7</v>
      </c>
      <c r="P56" s="1">
        <v>8.1</v>
      </c>
      <c r="Q56" s="1">
        <v>1.9</v>
      </c>
      <c r="R56" s="1">
        <v>20.7</v>
      </c>
      <c r="S56" s="1">
        <v>5.9</v>
      </c>
      <c r="T56" s="1">
        <v>48.8</v>
      </c>
      <c r="U56" s="1">
        <v>0.1</v>
      </c>
      <c r="V56" s="1">
        <v>0.6</v>
      </c>
      <c r="W56" s="1">
        <v>0.8</v>
      </c>
      <c r="X56" s="1" t="str">
        <f t="array" ref="X56">XLOOKUP(MID(A56, SEARCH("+++", A56) + 3, LEN(A56)),'Defensive Data'!$A$2:$A$134,'Defensive Data'!$D$2:$X$134)</f>
        <v>#N/A</v>
      </c>
    </row>
    <row r="57" ht="15.75" customHeight="1">
      <c r="A57" s="1" t="str">
        <f>CONCATENATE(Scores!A57,"+++",Scores!C57)</f>
        <v>Louisiana Tech+++Nicholls State</v>
      </c>
      <c r="B57" s="1">
        <f>Scores!B57</f>
        <v>25</v>
      </c>
      <c r="C57" s="1">
        <f t="array" ref="C57:W57">XLOOKUP(LEFT(A57,SEARCH("+",A57)-1),'Offensive Data'!$A$2:$A$134,'Offensive Data'!$D$2:$X$134)</f>
        <v>19.7</v>
      </c>
      <c r="D57" s="1">
        <v>31.8</v>
      </c>
      <c r="E57" s="1">
        <v>62.0</v>
      </c>
      <c r="F57" s="1">
        <v>223.7</v>
      </c>
      <c r="G57" s="1">
        <v>1.4</v>
      </c>
      <c r="H57" s="1">
        <v>37.2</v>
      </c>
      <c r="I57" s="1">
        <v>109.2</v>
      </c>
      <c r="J57" s="1">
        <v>2.9</v>
      </c>
      <c r="K57" s="1">
        <v>1.1</v>
      </c>
      <c r="L57" s="1">
        <v>69.0</v>
      </c>
      <c r="M57" s="1">
        <v>332.9</v>
      </c>
      <c r="N57" s="1">
        <v>4.8</v>
      </c>
      <c r="O57" s="1">
        <v>9.7</v>
      </c>
      <c r="P57" s="1">
        <v>7.2</v>
      </c>
      <c r="Q57" s="1">
        <v>1.1</v>
      </c>
      <c r="R57" s="1">
        <v>17.9</v>
      </c>
      <c r="S57" s="1">
        <v>5.3</v>
      </c>
      <c r="T57" s="1">
        <v>50.6</v>
      </c>
      <c r="U57" s="1">
        <v>1.1</v>
      </c>
      <c r="V57" s="1">
        <v>0.6</v>
      </c>
      <c r="W57" s="1">
        <v>1.7</v>
      </c>
      <c r="X57" s="1" t="str">
        <f t="array" ref="X57">XLOOKUP(MID(A57, SEARCH("+++", A57) + 3, LEN(A57)),'Defensive Data'!$A$2:$A$134,'Defensive Data'!$D$2:$X$134)</f>
        <v>#N/A</v>
      </c>
    </row>
    <row r="58" ht="15.75" customHeight="1">
      <c r="A58" s="1" t="str">
        <f>CONCATENATE(Scores!A58,"+++",Scores!C58)</f>
        <v>Louisville+++Austin Peay</v>
      </c>
      <c r="B58" s="1">
        <f>Scores!B58</f>
        <v>62</v>
      </c>
      <c r="C58" s="1">
        <f t="array" ref="C58:W58">XLOOKUP(LEFT(A58,SEARCH("+",A58)-1),'Offensive Data'!$A$2:$A$134,'Offensive Data'!$D$2:$X$134)</f>
        <v>20.8</v>
      </c>
      <c r="D58" s="1">
        <v>32.8</v>
      </c>
      <c r="E58" s="1">
        <v>63.5</v>
      </c>
      <c r="F58" s="1">
        <v>264.1</v>
      </c>
      <c r="G58" s="1">
        <v>2.0</v>
      </c>
      <c r="H58" s="1">
        <v>32.8</v>
      </c>
      <c r="I58" s="1">
        <v>185.2</v>
      </c>
      <c r="J58" s="1">
        <v>5.7</v>
      </c>
      <c r="K58" s="1">
        <v>2.2</v>
      </c>
      <c r="L58" s="1">
        <v>65.6</v>
      </c>
      <c r="M58" s="1">
        <v>449.2</v>
      </c>
      <c r="N58" s="1">
        <v>6.8</v>
      </c>
      <c r="O58" s="1">
        <v>11.2</v>
      </c>
      <c r="P58" s="1">
        <v>8.5</v>
      </c>
      <c r="Q58" s="1">
        <v>1.5</v>
      </c>
      <c r="R58" s="1">
        <v>21.2</v>
      </c>
      <c r="S58" s="1">
        <v>6.2</v>
      </c>
      <c r="T58" s="1">
        <v>49.4</v>
      </c>
      <c r="U58" s="1">
        <v>0.4</v>
      </c>
      <c r="V58" s="1">
        <v>0.5</v>
      </c>
      <c r="W58" s="1">
        <v>0.8</v>
      </c>
      <c r="X58" s="1" t="str">
        <f t="array" ref="X58">XLOOKUP(MID(A58, SEARCH("+++", A58) + 3, LEN(A58)),'Defensive Data'!$A$2:$A$134,'Defensive Data'!$D$2:$X$134)</f>
        <v>#N/A</v>
      </c>
    </row>
    <row r="59" ht="15.75" customHeight="1">
      <c r="A59" s="1" t="str">
        <f>CONCATENATE(Scores!A59,"+++",Scores!C59)</f>
        <v>Marshall+++Stony Brook</v>
      </c>
      <c r="B59" s="1">
        <f>Scores!B59</f>
        <v>45</v>
      </c>
      <c r="C59" s="1">
        <f t="array" ref="C59:W59">XLOOKUP(LEFT(A59,SEARCH("+",A59)-1),'Offensive Data'!$A$2:$A$134,'Offensive Data'!$D$2:$X$134)</f>
        <v>14.9</v>
      </c>
      <c r="D59" s="1">
        <v>25.6</v>
      </c>
      <c r="E59" s="1">
        <v>58.3</v>
      </c>
      <c r="F59" s="1">
        <v>181.1</v>
      </c>
      <c r="G59" s="1">
        <v>2.1</v>
      </c>
      <c r="H59" s="1">
        <v>39.2</v>
      </c>
      <c r="I59" s="1">
        <v>201.7</v>
      </c>
      <c r="J59" s="1">
        <v>5.2</v>
      </c>
      <c r="K59" s="1">
        <v>1.6</v>
      </c>
      <c r="L59" s="1">
        <v>64.8</v>
      </c>
      <c r="M59" s="1">
        <v>382.8</v>
      </c>
      <c r="N59" s="1">
        <v>5.9</v>
      </c>
      <c r="O59" s="1">
        <v>7.8</v>
      </c>
      <c r="P59" s="1">
        <v>10.5</v>
      </c>
      <c r="Q59" s="1">
        <v>1.6</v>
      </c>
      <c r="R59" s="1">
        <v>19.8</v>
      </c>
      <c r="S59" s="1">
        <v>5.4</v>
      </c>
      <c r="T59" s="1">
        <v>43.5</v>
      </c>
      <c r="U59" s="1">
        <v>0.5</v>
      </c>
      <c r="V59" s="1">
        <v>0.3</v>
      </c>
      <c r="W59" s="1">
        <v>0.8</v>
      </c>
      <c r="X59" s="1" t="str">
        <f t="array" ref="X59">XLOOKUP(MID(A59, SEARCH("+++", A59) + 3, LEN(A59)),'Defensive Data'!$A$2:$A$134,'Defensive Data'!$D$2:$X$134)</f>
        <v>#N/A</v>
      </c>
    </row>
    <row r="60" ht="15.75" customHeight="1">
      <c r="A60" s="1" t="str">
        <f>CONCATENATE(Scores!A60,"+++",Scores!C60)</f>
        <v>Maryland+++Connecticut</v>
      </c>
      <c r="B60" s="1">
        <f>Scores!B60</f>
        <v>50</v>
      </c>
      <c r="C60" s="1">
        <f t="array" ref="C60:W60">XLOOKUP(LEFT(A60,SEARCH("+",A60)-1),'Offensive Data'!$A$2:$A$134,'Offensive Data'!$D$2:$X$134)</f>
        <v>26.3</v>
      </c>
      <c r="D60" s="1">
        <v>41.2</v>
      </c>
      <c r="E60" s="1">
        <v>63.8</v>
      </c>
      <c r="F60" s="1">
        <v>275.7</v>
      </c>
      <c r="G60" s="1">
        <v>1.8</v>
      </c>
      <c r="H60" s="1">
        <v>30.8</v>
      </c>
      <c r="I60" s="1">
        <v>110.4</v>
      </c>
      <c r="J60" s="1">
        <v>3.6</v>
      </c>
      <c r="K60" s="1">
        <v>1.3</v>
      </c>
      <c r="L60" s="1">
        <v>72.0</v>
      </c>
      <c r="M60" s="1">
        <v>386.1</v>
      </c>
      <c r="N60" s="1">
        <v>5.4</v>
      </c>
      <c r="O60" s="1">
        <v>13.1</v>
      </c>
      <c r="P60" s="1">
        <v>6.3</v>
      </c>
      <c r="Q60" s="1">
        <v>2.2</v>
      </c>
      <c r="R60" s="1">
        <v>21.5</v>
      </c>
      <c r="S60" s="1">
        <v>6.4</v>
      </c>
      <c r="T60" s="1">
        <v>58.6</v>
      </c>
      <c r="U60" s="1">
        <v>0.5</v>
      </c>
      <c r="V60" s="1">
        <v>1.2</v>
      </c>
      <c r="W60" s="1">
        <v>1.7</v>
      </c>
      <c r="X60" s="1">
        <f t="array" ref="X60:AR60">XLOOKUP(MID(A60, SEARCH("+++", A60) + 3, LEN(A60)),'Defensive Data'!$A$2:$A$134,'Defensive Data'!$D$2:$X$134)</f>
        <v>20.6</v>
      </c>
      <c r="Y60" s="1">
        <v>33.3</v>
      </c>
      <c r="Z60" s="1">
        <v>61.9</v>
      </c>
      <c r="AA60" s="1">
        <v>215.0</v>
      </c>
      <c r="AB60" s="1">
        <v>1.2</v>
      </c>
      <c r="AC60" s="1">
        <v>34.8</v>
      </c>
      <c r="AD60" s="1">
        <v>132.3</v>
      </c>
      <c r="AE60" s="1">
        <v>3.8</v>
      </c>
      <c r="AF60" s="1">
        <v>1.2</v>
      </c>
      <c r="AG60" s="1">
        <v>68.2</v>
      </c>
      <c r="AH60" s="1">
        <v>347.3</v>
      </c>
      <c r="AI60" s="1">
        <v>5.1</v>
      </c>
      <c r="AJ60" s="1">
        <v>8.8</v>
      </c>
      <c r="AK60" s="1">
        <v>7.4</v>
      </c>
      <c r="AL60" s="1">
        <v>1.8</v>
      </c>
      <c r="AM60" s="1">
        <v>18.1</v>
      </c>
      <c r="AN60" s="1">
        <v>7.7</v>
      </c>
      <c r="AO60" s="1">
        <v>64.2</v>
      </c>
      <c r="AP60" s="1">
        <v>0.4</v>
      </c>
      <c r="AQ60" s="1">
        <v>0.8</v>
      </c>
      <c r="AR60" s="1">
        <v>1.2</v>
      </c>
    </row>
    <row r="61" ht="15.75" customHeight="1">
      <c r="A61" s="1" t="str">
        <f>CONCATENATE(Scores!A61,"+++",Scores!C61)</f>
        <v>Memphis+++North Alabama</v>
      </c>
      <c r="B61" s="1">
        <f>Scores!B61</f>
        <v>40</v>
      </c>
      <c r="C61" s="1">
        <f t="array" ref="C61:W61">XLOOKUP(LEFT(A61,SEARCH("+",A61)-1),'Offensive Data'!$A$2:$A$134,'Offensive Data'!$D$2:$X$134)</f>
        <v>23.8</v>
      </c>
      <c r="D61" s="1">
        <v>36.8</v>
      </c>
      <c r="E61" s="1">
        <v>64.7</v>
      </c>
      <c r="F61" s="1">
        <v>270.5</v>
      </c>
      <c r="G61" s="1">
        <v>1.9</v>
      </c>
      <c r="H61" s="1">
        <v>34.5</v>
      </c>
      <c r="I61" s="1">
        <v>174.1</v>
      </c>
      <c r="J61" s="1">
        <v>5.1</v>
      </c>
      <c r="K61" s="1">
        <v>2.5</v>
      </c>
      <c r="L61" s="1">
        <v>71.3</v>
      </c>
      <c r="M61" s="1">
        <v>444.5</v>
      </c>
      <c r="N61" s="1">
        <v>6.2</v>
      </c>
      <c r="O61" s="1">
        <v>11.5</v>
      </c>
      <c r="P61" s="1">
        <v>9.4</v>
      </c>
      <c r="Q61" s="1">
        <v>2.2</v>
      </c>
      <c r="R61" s="1">
        <v>23.1</v>
      </c>
      <c r="S61" s="1">
        <v>5.3</v>
      </c>
      <c r="T61" s="1">
        <v>48.0</v>
      </c>
      <c r="U61" s="1">
        <v>0.2</v>
      </c>
      <c r="V61" s="1">
        <v>0.5</v>
      </c>
      <c r="W61" s="1">
        <v>0.6</v>
      </c>
      <c r="X61" s="1" t="str">
        <f t="array" ref="X61">XLOOKUP(MID(A61, SEARCH("+++", A61) + 3, LEN(A61)),'Defensive Data'!$A$2:$A$134,'Defensive Data'!$D$2:$X$134)</f>
        <v>#N/A</v>
      </c>
    </row>
    <row r="62" ht="15.75" customHeight="1">
      <c r="A62" s="1" t="str">
        <f>CONCATENATE(Scores!A62,"+++",Scores!C62)</f>
        <v>Miami (FL)+++Florida</v>
      </c>
      <c r="B62" s="1">
        <f>Scores!B62</f>
        <v>41</v>
      </c>
      <c r="C62" s="1">
        <f t="array" ref="C62:W62">XLOOKUP(LEFT(A62,SEARCH("+",A62)-1),'Offensive Data'!$A$2:$A$134,'Offensive Data'!$D$2:$X$134)</f>
        <v>25.2</v>
      </c>
      <c r="D62" s="1">
        <v>37.6</v>
      </c>
      <c r="E62" s="1">
        <v>67.1</v>
      </c>
      <c r="F62" s="1">
        <v>348.2</v>
      </c>
      <c r="G62" s="1">
        <v>3.2</v>
      </c>
      <c r="H62" s="1">
        <v>33.3</v>
      </c>
      <c r="I62" s="1">
        <v>188.9</v>
      </c>
      <c r="J62" s="1">
        <v>5.7</v>
      </c>
      <c r="K62" s="1">
        <v>2.3</v>
      </c>
      <c r="L62" s="1">
        <v>70.9</v>
      </c>
      <c r="M62" s="1">
        <v>537.2</v>
      </c>
      <c r="N62" s="1">
        <v>7.6</v>
      </c>
      <c r="O62" s="1">
        <v>15.0</v>
      </c>
      <c r="P62" s="1">
        <v>10.3</v>
      </c>
      <c r="Q62" s="1">
        <v>1.7</v>
      </c>
      <c r="R62" s="1">
        <v>27.0</v>
      </c>
      <c r="S62" s="1">
        <v>6.6</v>
      </c>
      <c r="T62" s="1">
        <v>67.5</v>
      </c>
      <c r="U62" s="1">
        <v>0.6</v>
      </c>
      <c r="V62" s="1">
        <v>0.6</v>
      </c>
      <c r="W62" s="1">
        <v>1.2</v>
      </c>
      <c r="X62" s="1">
        <f t="array" ref="X62:AR62">XLOOKUP(MID(A62, SEARCH("+++", A62) + 3, LEN(A62)),'Defensive Data'!$A$2:$A$134,'Defensive Data'!$D$2:$X$134)</f>
        <v>18.8</v>
      </c>
      <c r="Y62" s="1">
        <v>32.4</v>
      </c>
      <c r="Z62" s="1">
        <v>58.0</v>
      </c>
      <c r="AA62" s="1">
        <v>227.5</v>
      </c>
      <c r="AB62" s="1">
        <v>1.4</v>
      </c>
      <c r="AC62" s="1">
        <v>39.4</v>
      </c>
      <c r="AD62" s="1">
        <v>149.5</v>
      </c>
      <c r="AE62" s="1">
        <v>3.8</v>
      </c>
      <c r="AF62" s="1">
        <v>1.3</v>
      </c>
      <c r="AG62" s="1">
        <v>71.8</v>
      </c>
      <c r="AH62" s="1">
        <v>376.9</v>
      </c>
      <c r="AI62" s="1">
        <v>5.3</v>
      </c>
      <c r="AJ62" s="1">
        <v>10.5</v>
      </c>
      <c r="AK62" s="1">
        <v>9.3</v>
      </c>
      <c r="AL62" s="1">
        <v>1.8</v>
      </c>
      <c r="AM62" s="1">
        <v>21.7</v>
      </c>
      <c r="AN62" s="1">
        <v>4.8</v>
      </c>
      <c r="AO62" s="1">
        <v>44.1</v>
      </c>
      <c r="AP62" s="1">
        <v>0.8</v>
      </c>
      <c r="AQ62" s="1">
        <v>1.1</v>
      </c>
      <c r="AR62" s="1">
        <v>1.9</v>
      </c>
    </row>
    <row r="63" ht="15.75" customHeight="1">
      <c r="A63" s="1" t="str">
        <f>CONCATENATE(Scores!A63,"+++",Scores!C63)</f>
        <v>Michigan+++Fresno State</v>
      </c>
      <c r="B63" s="1">
        <f>Scores!B63</f>
        <v>30</v>
      </c>
      <c r="C63" s="1">
        <f t="array" ref="C63:W63">XLOOKUP(LEFT(A63,SEARCH("+",A63)-1),'Offensive Data'!$A$2:$A$134,'Offensive Data'!$D$2:$X$134)</f>
        <v>14.6</v>
      </c>
      <c r="D63" s="1">
        <v>23.7</v>
      </c>
      <c r="E63" s="1">
        <v>61.7</v>
      </c>
      <c r="F63" s="1">
        <v>129.1</v>
      </c>
      <c r="G63" s="1">
        <v>0.9</v>
      </c>
      <c r="H63" s="1">
        <v>37.4</v>
      </c>
      <c r="I63" s="1">
        <v>157.2</v>
      </c>
      <c r="J63" s="1">
        <v>4.2</v>
      </c>
      <c r="K63" s="1">
        <v>1.4</v>
      </c>
      <c r="L63" s="1">
        <v>61.1</v>
      </c>
      <c r="M63" s="1">
        <v>286.2</v>
      </c>
      <c r="N63" s="1">
        <v>4.7</v>
      </c>
      <c r="O63" s="1">
        <v>6.6</v>
      </c>
      <c r="P63" s="1">
        <v>8.5</v>
      </c>
      <c r="Q63" s="1">
        <v>1.1</v>
      </c>
      <c r="R63" s="1">
        <v>16.2</v>
      </c>
      <c r="S63" s="1">
        <v>4.0</v>
      </c>
      <c r="T63" s="1">
        <v>39.5</v>
      </c>
      <c r="U63" s="1">
        <v>0.5</v>
      </c>
      <c r="V63" s="1">
        <v>1.0</v>
      </c>
      <c r="W63" s="1">
        <v>1.5</v>
      </c>
      <c r="X63" s="1">
        <f t="array" ref="X63:AR63">XLOOKUP(MID(A63, SEARCH("+++", A63) + 3, LEN(A63)),'Defensive Data'!$A$2:$A$134,'Defensive Data'!$D$2:$X$134)</f>
        <v>19.7</v>
      </c>
      <c r="Y63" s="1">
        <v>36.1</v>
      </c>
      <c r="Z63" s="1">
        <v>54.6</v>
      </c>
      <c r="AA63" s="1">
        <v>216.2</v>
      </c>
      <c r="AB63" s="1">
        <v>1.6</v>
      </c>
      <c r="AC63" s="1">
        <v>36.5</v>
      </c>
      <c r="AD63" s="1">
        <v>139.4</v>
      </c>
      <c r="AE63" s="1">
        <v>3.8</v>
      </c>
      <c r="AF63" s="1">
        <v>1.1</v>
      </c>
      <c r="AG63" s="1">
        <v>72.5</v>
      </c>
      <c r="AH63" s="1">
        <v>355.6</v>
      </c>
      <c r="AI63" s="1">
        <v>4.9</v>
      </c>
      <c r="AJ63" s="1">
        <v>9.9</v>
      </c>
      <c r="AK63" s="1">
        <v>8.5</v>
      </c>
      <c r="AL63" s="1">
        <v>2.4</v>
      </c>
      <c r="AM63" s="1">
        <v>20.8</v>
      </c>
      <c r="AN63" s="1">
        <v>6.9</v>
      </c>
      <c r="AO63" s="1">
        <v>63.1</v>
      </c>
      <c r="AP63" s="1">
        <v>0.4</v>
      </c>
      <c r="AQ63" s="1">
        <v>1.2</v>
      </c>
      <c r="AR63" s="1">
        <v>1.5</v>
      </c>
    </row>
    <row r="64" ht="15.75" customHeight="1">
      <c r="A64" s="1" t="str">
        <f>CONCATENATE(Scores!A64,"+++",Scores!C64)</f>
        <v>Middle Tennessee State+++Tennessee Tech</v>
      </c>
      <c r="B64" s="1">
        <f>Scores!B64</f>
        <v>32</v>
      </c>
      <c r="C64" s="1">
        <f t="array" ref="C64:W64">XLOOKUP(LEFT(A64,SEARCH("+",A64)-1),'Offensive Data'!$A$2:$A$134,'Offensive Data'!$D$2:$X$134)</f>
        <v>22.8</v>
      </c>
      <c r="D64" s="1">
        <v>35.7</v>
      </c>
      <c r="E64" s="1">
        <v>63.8</v>
      </c>
      <c r="F64" s="1">
        <v>261.1</v>
      </c>
      <c r="G64" s="1">
        <v>1.3</v>
      </c>
      <c r="H64" s="1">
        <v>27.9</v>
      </c>
      <c r="I64" s="1">
        <v>89.0</v>
      </c>
      <c r="J64" s="1">
        <v>3.2</v>
      </c>
      <c r="K64" s="1">
        <v>0.8</v>
      </c>
      <c r="L64" s="1">
        <v>63.6</v>
      </c>
      <c r="M64" s="1">
        <v>350.1</v>
      </c>
      <c r="N64" s="1">
        <v>5.5</v>
      </c>
      <c r="O64" s="1">
        <v>11.4</v>
      </c>
      <c r="P64" s="1">
        <v>4.8</v>
      </c>
      <c r="Q64" s="1">
        <v>2.0</v>
      </c>
      <c r="R64" s="1">
        <v>18.2</v>
      </c>
      <c r="S64" s="1">
        <v>7.3</v>
      </c>
      <c r="T64" s="1">
        <v>61.3</v>
      </c>
      <c r="U64" s="1">
        <v>0.8</v>
      </c>
      <c r="V64" s="1">
        <v>0.8</v>
      </c>
      <c r="W64" s="1">
        <v>1.6</v>
      </c>
      <c r="X64" s="1" t="str">
        <f t="array" ref="X64">XLOOKUP(MID(A64, SEARCH("+++", A64) + 3, LEN(A64)),'Defensive Data'!$A$2:$A$134,'Defensive Data'!$D$2:$X$134)</f>
        <v>#N/A</v>
      </c>
    </row>
    <row r="65" ht="15.75" customHeight="1">
      <c r="A65" s="1" t="str">
        <f>CONCATENATE(Scores!A65,"+++",Scores!C65)</f>
        <v>Mississippi+++Furman</v>
      </c>
      <c r="B65" s="1">
        <f>Scores!B65</f>
        <v>76</v>
      </c>
      <c r="C65" s="1" t="str">
        <f t="array" ref="C65">XLOOKUP(LEFT(A65,SEARCH("+",A65)-1),'Offensive Data'!$A$2:$A$134,'Offensive Data'!$D$2:$X$134)</f>
        <v>#N/A</v>
      </c>
      <c r="X65" s="1" t="str">
        <f t="array" ref="X65">XLOOKUP(MID(A65, SEARCH("+++", A65) + 3, LEN(A65)),'Defensive Data'!$A$2:$A$134,'Defensive Data'!$D$2:$X$134)</f>
        <v>#N/A</v>
      </c>
    </row>
    <row r="66" ht="15.75" customHeight="1">
      <c r="A66" s="1" t="str">
        <f>CONCATENATE(Scores!A66,"+++",Scores!C66)</f>
        <v>Mississippi State+++Eastern Kentucky</v>
      </c>
      <c r="B66" s="1">
        <f>Scores!B66</f>
        <v>56</v>
      </c>
      <c r="C66" s="1">
        <f t="array" ref="C66:W66">XLOOKUP(LEFT(A66,SEARCH("+",A66)-1),'Offensive Data'!$A$2:$A$134,'Offensive Data'!$D$2:$X$134)</f>
        <v>17.9</v>
      </c>
      <c r="D66" s="1">
        <v>30.7</v>
      </c>
      <c r="E66" s="1">
        <v>58.4</v>
      </c>
      <c r="F66" s="1">
        <v>239.3</v>
      </c>
      <c r="G66" s="1">
        <v>1.6</v>
      </c>
      <c r="H66" s="1">
        <v>34.9</v>
      </c>
      <c r="I66" s="1">
        <v>137.9</v>
      </c>
      <c r="J66" s="1">
        <v>3.9</v>
      </c>
      <c r="K66" s="1">
        <v>1.6</v>
      </c>
      <c r="L66" s="1">
        <v>65.6</v>
      </c>
      <c r="M66" s="1">
        <v>377.2</v>
      </c>
      <c r="N66" s="1">
        <v>5.8</v>
      </c>
      <c r="O66" s="1">
        <v>10.2</v>
      </c>
      <c r="P66" s="1">
        <v>7.8</v>
      </c>
      <c r="Q66" s="1">
        <v>2.3</v>
      </c>
      <c r="R66" s="1">
        <v>20.3</v>
      </c>
      <c r="S66" s="1">
        <v>6.8</v>
      </c>
      <c r="T66" s="1">
        <v>60.3</v>
      </c>
      <c r="U66" s="1">
        <v>0.8</v>
      </c>
      <c r="V66" s="1">
        <v>0.7</v>
      </c>
      <c r="W66" s="1">
        <v>1.5</v>
      </c>
      <c r="X66" s="1" t="str">
        <f t="array" ref="X66">XLOOKUP(MID(A66, SEARCH("+++", A66) + 3, LEN(A66)),'Defensive Data'!$A$2:$A$134,'Defensive Data'!$D$2:$X$134)</f>
        <v>#N/A</v>
      </c>
    </row>
    <row r="67" ht="15.75" customHeight="1">
      <c r="A67" s="1" t="str">
        <f>CONCATENATE(Scores!A67,"+++",Scores!C67)</f>
        <v>Navy+++Bucknell</v>
      </c>
      <c r="B67" s="1">
        <f>Scores!B67</f>
        <v>49</v>
      </c>
      <c r="C67" s="1">
        <f t="array" ref="C67:W67">XLOOKUP(LEFT(A67,SEARCH("+",A67)-1),'Offensive Data'!$A$2:$A$134,'Offensive Data'!$D$2:$X$134)</f>
        <v>7.6</v>
      </c>
      <c r="D67" s="1">
        <v>13.8</v>
      </c>
      <c r="E67" s="1">
        <v>55.3</v>
      </c>
      <c r="F67" s="1">
        <v>123.8</v>
      </c>
      <c r="G67" s="1">
        <v>1.2</v>
      </c>
      <c r="H67" s="1">
        <v>45.5</v>
      </c>
      <c r="I67" s="1">
        <v>247.5</v>
      </c>
      <c r="J67" s="1">
        <v>5.4</v>
      </c>
      <c r="K67" s="1">
        <v>2.9</v>
      </c>
      <c r="L67" s="1">
        <v>59.3</v>
      </c>
      <c r="M67" s="1">
        <v>371.3</v>
      </c>
      <c r="N67" s="1">
        <v>6.3</v>
      </c>
      <c r="O67" s="1">
        <v>4.8</v>
      </c>
      <c r="P67" s="1">
        <v>11.4</v>
      </c>
      <c r="Q67" s="1">
        <v>0.8</v>
      </c>
      <c r="R67" s="1">
        <v>17.0</v>
      </c>
      <c r="S67" s="1">
        <v>5.1</v>
      </c>
      <c r="T67" s="1">
        <v>45.0</v>
      </c>
      <c r="U67" s="1">
        <v>0.6</v>
      </c>
      <c r="V67" s="1">
        <v>0.5</v>
      </c>
      <c r="W67" s="1">
        <v>1.1</v>
      </c>
      <c r="X67" s="1" t="str">
        <f t="array" ref="X67">XLOOKUP(MID(A67, SEARCH("+++", A67) + 3, LEN(A67)),'Defensive Data'!$A$2:$A$134,'Defensive Data'!$D$2:$X$134)</f>
        <v>#N/A</v>
      </c>
    </row>
    <row r="68" ht="15.75" customHeight="1">
      <c r="A68" s="1" t="str">
        <f>CONCATENATE(Scores!A68,"+++",Scores!C68)</f>
        <v>Nebraska+++Texas-El Paso</v>
      </c>
      <c r="B68" s="1">
        <f>Scores!B68</f>
        <v>40</v>
      </c>
      <c r="C68" s="1">
        <f t="array" ref="C68:W68">XLOOKUP(LEFT(A68,SEARCH("+",A68)-1),'Offensive Data'!$A$2:$A$134,'Offensive Data'!$D$2:$X$134)</f>
        <v>22.2</v>
      </c>
      <c r="D68" s="1">
        <v>33.5</v>
      </c>
      <c r="E68" s="1">
        <v>66.2</v>
      </c>
      <c r="F68" s="1">
        <v>228.4</v>
      </c>
      <c r="G68" s="1">
        <v>1.0</v>
      </c>
      <c r="H68" s="1">
        <v>34.5</v>
      </c>
      <c r="I68" s="1">
        <v>130.6</v>
      </c>
      <c r="J68" s="1">
        <v>3.8</v>
      </c>
      <c r="K68" s="1">
        <v>1.7</v>
      </c>
      <c r="L68" s="1">
        <v>67.9</v>
      </c>
      <c r="M68" s="1">
        <v>359.0</v>
      </c>
      <c r="N68" s="1">
        <v>5.3</v>
      </c>
      <c r="O68" s="1">
        <v>10.5</v>
      </c>
      <c r="P68" s="1">
        <v>8.4</v>
      </c>
      <c r="Q68" s="1">
        <v>2.8</v>
      </c>
      <c r="R68" s="1">
        <v>21.8</v>
      </c>
      <c r="S68" s="1">
        <v>6.2</v>
      </c>
      <c r="T68" s="1">
        <v>53.2</v>
      </c>
      <c r="U68" s="1">
        <v>0.5</v>
      </c>
      <c r="V68" s="1">
        <v>0.9</v>
      </c>
      <c r="W68" s="1">
        <v>1.5</v>
      </c>
      <c r="X68" s="1" t="str">
        <f t="array" ref="X68">XLOOKUP(MID(A68, SEARCH("+++", A68) + 3, LEN(A68)),'Defensive Data'!$A$2:$A$134,'Defensive Data'!$D$2:$X$134)</f>
        <v>#N/A</v>
      </c>
    </row>
    <row r="69" ht="15.75" customHeight="1">
      <c r="A69" s="1" t="str">
        <f>CONCATENATE(Scores!A69,"+++",Scores!C69)</f>
        <v>Nevada+++Troy</v>
      </c>
      <c r="B69" s="1">
        <f>Scores!B69</f>
        <v>28</v>
      </c>
      <c r="C69" s="1">
        <f t="array" ref="C69:W69">XLOOKUP(LEFT(A69,SEARCH("+",A69)-1),'Offensive Data'!$A$2:$A$134,'Offensive Data'!$D$2:$X$134)</f>
        <v>19</v>
      </c>
      <c r="D69" s="1">
        <v>28.2</v>
      </c>
      <c r="E69" s="1">
        <v>67.5</v>
      </c>
      <c r="F69" s="1">
        <v>212.6</v>
      </c>
      <c r="G69" s="1">
        <v>1.5</v>
      </c>
      <c r="H69" s="1">
        <v>35.5</v>
      </c>
      <c r="I69" s="1">
        <v>163.5</v>
      </c>
      <c r="J69" s="1">
        <v>4.6</v>
      </c>
      <c r="K69" s="1">
        <v>1.6</v>
      </c>
      <c r="L69" s="1">
        <v>63.7</v>
      </c>
      <c r="M69" s="1">
        <v>376.1</v>
      </c>
      <c r="N69" s="1">
        <v>5.9</v>
      </c>
      <c r="O69" s="1">
        <v>9.0</v>
      </c>
      <c r="P69" s="1">
        <v>8.8</v>
      </c>
      <c r="Q69" s="1">
        <v>1.7</v>
      </c>
      <c r="R69" s="1">
        <v>19.5</v>
      </c>
      <c r="S69" s="1">
        <v>7.6</v>
      </c>
      <c r="T69" s="1">
        <v>71.9</v>
      </c>
      <c r="U69" s="1">
        <v>0.5</v>
      </c>
      <c r="V69" s="1">
        <v>0.6</v>
      </c>
      <c r="W69" s="1">
        <v>1.2</v>
      </c>
      <c r="X69" s="1">
        <f t="array" ref="X69:AR69">XLOOKUP(MID(A69, SEARCH("+++", A69) + 3, LEN(A69)),'Defensive Data'!$A$2:$A$134,'Defensive Data'!$D$2:$X$134)</f>
        <v>18.5</v>
      </c>
      <c r="Y69" s="1">
        <v>27.7</v>
      </c>
      <c r="Z69" s="1">
        <v>66.9</v>
      </c>
      <c r="AA69" s="1">
        <v>221.6</v>
      </c>
      <c r="AB69" s="1">
        <v>1.1</v>
      </c>
      <c r="AC69" s="1">
        <v>33.8</v>
      </c>
      <c r="AD69" s="1">
        <v>145.3</v>
      </c>
      <c r="AE69" s="1">
        <v>4.3</v>
      </c>
      <c r="AF69" s="1">
        <v>2.0</v>
      </c>
      <c r="AG69" s="1">
        <v>61.4</v>
      </c>
      <c r="AH69" s="1">
        <v>366.9</v>
      </c>
      <c r="AI69" s="1">
        <v>6.0</v>
      </c>
      <c r="AJ69" s="1">
        <v>8.9</v>
      </c>
      <c r="AK69" s="1">
        <v>7.3</v>
      </c>
      <c r="AL69" s="1">
        <v>2.9</v>
      </c>
      <c r="AM69" s="1">
        <v>19.2</v>
      </c>
      <c r="AN69" s="1">
        <v>5.8</v>
      </c>
      <c r="AO69" s="1">
        <v>51.9</v>
      </c>
      <c r="AP69" s="1">
        <v>0.3</v>
      </c>
      <c r="AQ69" s="1">
        <v>0.5</v>
      </c>
      <c r="AR69" s="1">
        <v>0.8</v>
      </c>
    </row>
    <row r="70" ht="15.75" customHeight="1">
      <c r="A70" s="1" t="str">
        <f>CONCATENATE(Scores!A70,"+++",Scores!C70)</f>
        <v>Nevada-Las Vegas+++Houston</v>
      </c>
      <c r="B70" s="1">
        <f>Scores!B70</f>
        <v>27</v>
      </c>
      <c r="C70" s="1" t="str">
        <f t="array" ref="C70">XLOOKUP(LEFT(A70,SEARCH("+",A70)-1),'Offensive Data'!$A$2:$A$134,'Offensive Data'!$D$2:$X$134)</f>
        <v>#N/A</v>
      </c>
      <c r="X70" s="1">
        <f t="array" ref="X70:AR70">XLOOKUP(MID(A70, SEARCH("+++", A70) + 3, LEN(A70)),'Defensive Data'!$A$2:$A$134,'Defensive Data'!$D$2:$X$134)</f>
        <v>16.6</v>
      </c>
      <c r="Y70" s="1">
        <v>27.8</v>
      </c>
      <c r="Z70" s="1">
        <v>59.8</v>
      </c>
      <c r="AA70" s="1">
        <v>188.8</v>
      </c>
      <c r="AB70" s="1">
        <v>1.5</v>
      </c>
      <c r="AC70" s="1">
        <v>34.7</v>
      </c>
      <c r="AD70" s="1">
        <v>135.9</v>
      </c>
      <c r="AE70" s="1">
        <v>3.9</v>
      </c>
      <c r="AF70" s="1">
        <v>1.2</v>
      </c>
      <c r="AG70" s="1">
        <v>62.4</v>
      </c>
      <c r="AH70" s="1">
        <v>324.8</v>
      </c>
      <c r="AI70" s="1">
        <v>5.2</v>
      </c>
      <c r="AJ70" s="1">
        <v>8.6</v>
      </c>
      <c r="AK70" s="1">
        <v>7.5</v>
      </c>
      <c r="AL70" s="1">
        <v>1.8</v>
      </c>
      <c r="AM70" s="1">
        <v>17.8</v>
      </c>
      <c r="AN70" s="1">
        <v>4.5</v>
      </c>
      <c r="AO70" s="1">
        <v>42.3</v>
      </c>
      <c r="AP70" s="1">
        <v>0.6</v>
      </c>
      <c r="AQ70" s="1">
        <v>1.0</v>
      </c>
      <c r="AR70" s="1">
        <v>1.6</v>
      </c>
    </row>
    <row r="71" ht="15.75" customHeight="1">
      <c r="A71" s="1" t="str">
        <f>CONCATENATE(Scores!A71,"+++",Scores!C71)</f>
        <v>New Mexico State+++Southeast Missouri State</v>
      </c>
      <c r="B71" s="1">
        <f>Scores!B71</f>
        <v>23</v>
      </c>
      <c r="C71" s="1">
        <f t="array" ref="C71:W71">XLOOKUP(LEFT(A71,SEARCH("+",A71)-1),'Offensive Data'!$A$2:$A$134,'Offensive Data'!$D$2:$X$134)</f>
        <v>11.8</v>
      </c>
      <c r="D71" s="1">
        <v>26.7</v>
      </c>
      <c r="E71" s="1">
        <v>44.1</v>
      </c>
      <c r="F71" s="1">
        <v>143.2</v>
      </c>
      <c r="G71" s="1">
        <v>1.0</v>
      </c>
      <c r="H71" s="1">
        <v>41.3</v>
      </c>
      <c r="I71" s="1">
        <v>180.0</v>
      </c>
      <c r="J71" s="1">
        <v>4.4</v>
      </c>
      <c r="K71" s="1">
        <v>1.3</v>
      </c>
      <c r="L71" s="1">
        <v>67.9</v>
      </c>
      <c r="M71" s="1">
        <v>323.2</v>
      </c>
      <c r="N71" s="1">
        <v>4.8</v>
      </c>
      <c r="O71" s="1">
        <v>7.3</v>
      </c>
      <c r="P71" s="1">
        <v>9.3</v>
      </c>
      <c r="Q71" s="1">
        <v>2.8</v>
      </c>
      <c r="R71" s="1">
        <v>19.3</v>
      </c>
      <c r="S71" s="1">
        <v>5.4</v>
      </c>
      <c r="T71" s="1">
        <v>48.1</v>
      </c>
      <c r="U71" s="1">
        <v>0.9</v>
      </c>
      <c r="V71" s="1">
        <v>1.0</v>
      </c>
      <c r="W71" s="1">
        <v>1.9</v>
      </c>
      <c r="X71" s="1" t="str">
        <f t="array" ref="X71">XLOOKUP(MID(A71, SEARCH("+++", A71) + 3, LEN(A71)),'Defensive Data'!$A$2:$A$134,'Defensive Data'!$D$2:$X$134)</f>
        <v>#N/A</v>
      </c>
    </row>
    <row r="72" ht="15.75" customHeight="1">
      <c r="A72" s="1" t="str">
        <f>CONCATENATE(Scores!A72,"+++",Scores!C72)</f>
        <v>North Texas+++South Alabama</v>
      </c>
      <c r="B72" s="1">
        <f>Scores!B72</f>
        <v>52</v>
      </c>
      <c r="C72" s="1">
        <f t="array" ref="C72:W72">XLOOKUP(LEFT(A72,SEARCH("+",A72)-1),'Offensive Data'!$A$2:$A$134,'Offensive Data'!$D$2:$X$134)</f>
        <v>27.2</v>
      </c>
      <c r="D72" s="1">
        <v>43.2</v>
      </c>
      <c r="E72" s="1">
        <v>62.8</v>
      </c>
      <c r="F72" s="1">
        <v>328.2</v>
      </c>
      <c r="G72" s="1">
        <v>2.5</v>
      </c>
      <c r="H72" s="1">
        <v>29.5</v>
      </c>
      <c r="I72" s="1">
        <v>160.6</v>
      </c>
      <c r="J72" s="1">
        <v>5.4</v>
      </c>
      <c r="K72" s="1">
        <v>1.8</v>
      </c>
      <c r="L72" s="1">
        <v>72.8</v>
      </c>
      <c r="M72" s="1">
        <v>488.8</v>
      </c>
      <c r="N72" s="1">
        <v>6.7</v>
      </c>
      <c r="O72" s="1">
        <v>14.5</v>
      </c>
      <c r="P72" s="1">
        <v>6.7</v>
      </c>
      <c r="Q72" s="1">
        <v>2.6</v>
      </c>
      <c r="R72" s="1">
        <v>23.8</v>
      </c>
      <c r="S72" s="1">
        <v>7.0</v>
      </c>
      <c r="T72" s="1">
        <v>59.5</v>
      </c>
      <c r="U72" s="1">
        <v>0.6</v>
      </c>
      <c r="V72" s="1">
        <v>1.1</v>
      </c>
      <c r="W72" s="1">
        <v>1.7</v>
      </c>
      <c r="X72" s="1">
        <f t="array" ref="X72:AR72">XLOOKUP(MID(A72, SEARCH("+++", A72) + 3, LEN(A72)),'Defensive Data'!$A$2:$A$134,'Defensive Data'!$D$2:$X$134)</f>
        <v>21.4</v>
      </c>
      <c r="Y72" s="1">
        <v>33.1</v>
      </c>
      <c r="Z72" s="1">
        <v>64.7</v>
      </c>
      <c r="AA72" s="1">
        <v>248.8</v>
      </c>
      <c r="AB72" s="1">
        <v>1.4</v>
      </c>
      <c r="AC72" s="1">
        <v>35.0</v>
      </c>
      <c r="AD72" s="1">
        <v>142.2</v>
      </c>
      <c r="AE72" s="1">
        <v>4.1</v>
      </c>
      <c r="AF72" s="1">
        <v>1.5</v>
      </c>
      <c r="AG72" s="1">
        <v>68.1</v>
      </c>
      <c r="AH72" s="1">
        <v>391.0</v>
      </c>
      <c r="AI72" s="1">
        <v>5.7</v>
      </c>
      <c r="AJ72" s="1">
        <v>11.1</v>
      </c>
      <c r="AK72" s="1">
        <v>7.8</v>
      </c>
      <c r="AL72" s="1">
        <v>2.2</v>
      </c>
      <c r="AM72" s="1">
        <v>21.1</v>
      </c>
      <c r="AN72" s="1">
        <v>5.4</v>
      </c>
      <c r="AO72" s="1">
        <v>48.3</v>
      </c>
      <c r="AP72" s="1">
        <v>0.3</v>
      </c>
      <c r="AQ72" s="1">
        <v>1.2</v>
      </c>
      <c r="AR72" s="1">
        <v>1.5</v>
      </c>
    </row>
    <row r="73" ht="15.75" customHeight="1">
      <c r="A73" s="1" t="str">
        <f>CONCATENATE(Scores!A73,"+++",Scores!C73)</f>
        <v>Northern Illinois+++Western Illinois</v>
      </c>
      <c r="B73" s="1">
        <f>Scores!B73</f>
        <v>54</v>
      </c>
      <c r="C73" s="1">
        <f t="array" ref="C73:W73">XLOOKUP(LEFT(A73,SEARCH("+",A73)-1),'Offensive Data'!$A$2:$A$134,'Offensive Data'!$D$2:$X$134)</f>
        <v>16.6</v>
      </c>
      <c r="D73" s="1">
        <v>28.5</v>
      </c>
      <c r="E73" s="1">
        <v>58.2</v>
      </c>
      <c r="F73" s="1">
        <v>178.5</v>
      </c>
      <c r="G73" s="1">
        <v>1.2</v>
      </c>
      <c r="H73" s="1">
        <v>43.2</v>
      </c>
      <c r="I73" s="1">
        <v>203.8</v>
      </c>
      <c r="J73" s="1">
        <v>4.7</v>
      </c>
      <c r="K73" s="1">
        <v>1.7</v>
      </c>
      <c r="L73" s="1">
        <v>71.8</v>
      </c>
      <c r="M73" s="1">
        <v>382.2</v>
      </c>
      <c r="N73" s="1">
        <v>5.3</v>
      </c>
      <c r="O73" s="1">
        <v>8.8</v>
      </c>
      <c r="P73" s="1">
        <v>10.5</v>
      </c>
      <c r="Q73" s="1">
        <v>2.1</v>
      </c>
      <c r="R73" s="1">
        <v>21.5</v>
      </c>
      <c r="S73" s="1">
        <v>4.2</v>
      </c>
      <c r="T73" s="1">
        <v>42.8</v>
      </c>
      <c r="U73" s="1">
        <v>0.7</v>
      </c>
      <c r="V73" s="1">
        <v>0.6</v>
      </c>
      <c r="W73" s="1">
        <v>1.3</v>
      </c>
      <c r="X73" s="1" t="str">
        <f t="array" ref="X73">XLOOKUP(MID(A73, SEARCH("+++", A73) + 3, LEN(A73)),'Defensive Data'!$A$2:$A$134,'Defensive Data'!$D$2:$X$134)</f>
        <v>#N/A</v>
      </c>
    </row>
    <row r="74" ht="15.75" customHeight="1">
      <c r="A74" s="1" t="str">
        <f>CONCATENATE(Scores!A74,"+++",Scores!C74)</f>
        <v>Northwestern+++Miami (OH)</v>
      </c>
      <c r="B74" s="1">
        <f>Scores!B74</f>
        <v>13</v>
      </c>
      <c r="C74" s="1">
        <f t="array" ref="C74:W74">XLOOKUP(LEFT(A74,SEARCH("+",A74)-1),'Offensive Data'!$A$2:$A$134,'Offensive Data'!$D$2:$X$134)</f>
        <v>17.5</v>
      </c>
      <c r="D74" s="1">
        <v>32.6</v>
      </c>
      <c r="E74" s="1">
        <v>53.7</v>
      </c>
      <c r="F74" s="1">
        <v>185.9</v>
      </c>
      <c r="G74" s="1">
        <v>0.6</v>
      </c>
      <c r="H74" s="1">
        <v>29.6</v>
      </c>
      <c r="I74" s="1">
        <v>98.5</v>
      </c>
      <c r="J74" s="1">
        <v>3.3</v>
      </c>
      <c r="K74" s="1">
        <v>1.0</v>
      </c>
      <c r="L74" s="1">
        <v>62.2</v>
      </c>
      <c r="M74" s="1">
        <v>284.4</v>
      </c>
      <c r="N74" s="1">
        <v>4.6</v>
      </c>
      <c r="O74" s="1">
        <v>8.3</v>
      </c>
      <c r="P74" s="1">
        <v>6.3</v>
      </c>
      <c r="Q74" s="1">
        <v>1.3</v>
      </c>
      <c r="R74" s="1">
        <v>16.0</v>
      </c>
      <c r="S74" s="1">
        <v>4.8</v>
      </c>
      <c r="T74" s="1">
        <v>38.3</v>
      </c>
      <c r="U74" s="1">
        <v>0.6</v>
      </c>
      <c r="V74" s="1">
        <v>0.9</v>
      </c>
      <c r="W74" s="1">
        <v>1.5</v>
      </c>
      <c r="X74" s="1">
        <f t="array" ref="X74:AR74">XLOOKUP(MID(A74, SEARCH("+++", A74) + 3, LEN(A74)),'Defensive Data'!$A$2:$A$134,'Defensive Data'!$D$2:$X$134)</f>
        <v>19.1</v>
      </c>
      <c r="Y74" s="1">
        <v>33.1</v>
      </c>
      <c r="Z74" s="1">
        <v>57.8</v>
      </c>
      <c r="AA74" s="1">
        <v>194.3</v>
      </c>
      <c r="AB74" s="1">
        <v>0.7</v>
      </c>
      <c r="AC74" s="1">
        <v>35.1</v>
      </c>
      <c r="AD74" s="1">
        <v>137.1</v>
      </c>
      <c r="AE74" s="1">
        <v>3.9</v>
      </c>
      <c r="AF74" s="1">
        <v>1.4</v>
      </c>
      <c r="AG74" s="1">
        <v>68.2</v>
      </c>
      <c r="AH74" s="1">
        <v>331.4</v>
      </c>
      <c r="AI74" s="1">
        <v>4.9</v>
      </c>
      <c r="AJ74" s="1">
        <v>10.1</v>
      </c>
      <c r="AK74" s="1">
        <v>8.3</v>
      </c>
      <c r="AL74" s="1">
        <v>1.8</v>
      </c>
      <c r="AM74" s="1">
        <v>20.2</v>
      </c>
      <c r="AN74" s="1">
        <v>4.9</v>
      </c>
      <c r="AO74" s="1">
        <v>41.9</v>
      </c>
      <c r="AP74" s="1">
        <v>0.7</v>
      </c>
      <c r="AQ74" s="1">
        <v>0.9</v>
      </c>
      <c r="AR74" s="1">
        <v>1.6</v>
      </c>
    </row>
    <row r="75" ht="15.75" customHeight="1">
      <c r="A75" s="1" t="str">
        <f>CONCATENATE(Scores!A75,"+++",Scores!C75)</f>
        <v>Notre Dame+++Texas A&amp;M</v>
      </c>
      <c r="B75" s="1">
        <f>Scores!B75</f>
        <v>23</v>
      </c>
      <c r="C75" s="1">
        <f t="array" ref="C75:W75">XLOOKUP(LEFT(A75,SEARCH("+",A75)-1),'Offensive Data'!$A$2:$A$134,'Offensive Data'!$D$2:$X$134)</f>
        <v>18.5</v>
      </c>
      <c r="D75" s="1">
        <v>27.8</v>
      </c>
      <c r="E75" s="1">
        <v>66.5</v>
      </c>
      <c r="F75" s="1">
        <v>198.1</v>
      </c>
      <c r="G75" s="1">
        <v>1.5</v>
      </c>
      <c r="H75" s="1">
        <v>35.5</v>
      </c>
      <c r="I75" s="1">
        <v>200.9</v>
      </c>
      <c r="J75" s="1">
        <v>5.7</v>
      </c>
      <c r="K75" s="1">
        <v>2.8</v>
      </c>
      <c r="L75" s="1">
        <v>63.3</v>
      </c>
      <c r="M75" s="1">
        <v>399.1</v>
      </c>
      <c r="N75" s="1">
        <v>6.3</v>
      </c>
      <c r="O75" s="1">
        <v>9.4</v>
      </c>
      <c r="P75" s="1">
        <v>9.2</v>
      </c>
      <c r="Q75" s="1">
        <v>1.8</v>
      </c>
      <c r="R75" s="1">
        <v>20.4</v>
      </c>
      <c r="S75" s="1">
        <v>5.8</v>
      </c>
      <c r="T75" s="1">
        <v>50.9</v>
      </c>
      <c r="U75" s="1">
        <v>0.4</v>
      </c>
      <c r="V75" s="1">
        <v>0.5</v>
      </c>
      <c r="W75" s="1">
        <v>0.9</v>
      </c>
      <c r="X75" s="1">
        <f t="array" ref="X75:AR75">XLOOKUP(MID(A75, SEARCH("+++", A75) + 3, LEN(A75)),'Defensive Data'!$A$2:$A$134,'Defensive Data'!$D$2:$X$134)</f>
        <v>17.5</v>
      </c>
      <c r="Y75" s="1">
        <v>32.9</v>
      </c>
      <c r="Z75" s="1">
        <v>53.3</v>
      </c>
      <c r="AA75" s="1">
        <v>232.2</v>
      </c>
      <c r="AB75" s="1">
        <v>1.5</v>
      </c>
      <c r="AC75" s="1">
        <v>34.0</v>
      </c>
      <c r="AD75" s="1">
        <v>135.2</v>
      </c>
      <c r="AE75" s="1">
        <v>4.0</v>
      </c>
      <c r="AF75" s="1">
        <v>1.1</v>
      </c>
      <c r="AG75" s="1">
        <v>66.9</v>
      </c>
      <c r="AH75" s="1">
        <v>367.3</v>
      </c>
      <c r="AI75" s="1">
        <v>5.5</v>
      </c>
      <c r="AJ75" s="1">
        <v>9.5</v>
      </c>
      <c r="AK75" s="1">
        <v>7.8</v>
      </c>
      <c r="AL75" s="1">
        <v>2.3</v>
      </c>
      <c r="AM75" s="1">
        <v>19.6</v>
      </c>
      <c r="AN75" s="1">
        <v>6.2</v>
      </c>
      <c r="AO75" s="1">
        <v>51.8</v>
      </c>
      <c r="AP75" s="1">
        <v>0.3</v>
      </c>
      <c r="AQ75" s="1">
        <v>1.2</v>
      </c>
      <c r="AR75" s="1">
        <v>1.5</v>
      </c>
    </row>
    <row r="76" ht="15.75" customHeight="1">
      <c r="A76" s="1" t="str">
        <f>CONCATENATE(Scores!A76,"+++",Scores!C76)</f>
        <v>Ohio State+++Akron</v>
      </c>
      <c r="B76" s="1">
        <f>Scores!B76</f>
        <v>52</v>
      </c>
      <c r="C76" s="1">
        <f t="array" ref="C76:W76">XLOOKUP(LEFT(A76,SEARCH("+",A76)-1),'Offensive Data'!$A$2:$A$134,'Offensive Data'!$D$2:$X$134)</f>
        <v>20.3</v>
      </c>
      <c r="D76" s="1">
        <v>28.4</v>
      </c>
      <c r="E76" s="1">
        <v>71.4</v>
      </c>
      <c r="F76" s="1">
        <v>263.0</v>
      </c>
      <c r="G76" s="1">
        <v>2.3</v>
      </c>
      <c r="H76" s="1">
        <v>33.4</v>
      </c>
      <c r="I76" s="1">
        <v>166.4</v>
      </c>
      <c r="J76" s="1">
        <v>5.0</v>
      </c>
      <c r="K76" s="1">
        <v>2.1</v>
      </c>
      <c r="L76" s="1">
        <v>61.8</v>
      </c>
      <c r="M76" s="1">
        <v>429.4</v>
      </c>
      <c r="N76" s="1">
        <v>6.9</v>
      </c>
      <c r="O76" s="1">
        <v>11.4</v>
      </c>
      <c r="P76" s="1">
        <v>8.4</v>
      </c>
      <c r="Q76" s="1">
        <v>0.9</v>
      </c>
      <c r="R76" s="1">
        <v>20.8</v>
      </c>
      <c r="S76" s="1">
        <v>4.5</v>
      </c>
      <c r="T76" s="1">
        <v>40.8</v>
      </c>
      <c r="U76" s="1">
        <v>0.4</v>
      </c>
      <c r="V76" s="1">
        <v>0.6</v>
      </c>
      <c r="W76" s="1">
        <v>1.0</v>
      </c>
      <c r="X76" s="1">
        <f t="array" ref="X76:AR76">XLOOKUP(MID(A76, SEARCH("+++", A76) + 3, LEN(A76)),'Defensive Data'!$A$2:$A$134,'Defensive Data'!$D$2:$X$134)</f>
        <v>18.4</v>
      </c>
      <c r="Y76" s="1">
        <v>28.6</v>
      </c>
      <c r="Z76" s="1">
        <v>64.4</v>
      </c>
      <c r="AA76" s="1">
        <v>231.1</v>
      </c>
      <c r="AB76" s="1">
        <v>2.0</v>
      </c>
      <c r="AC76" s="1">
        <v>39.7</v>
      </c>
      <c r="AD76" s="1">
        <v>183.3</v>
      </c>
      <c r="AE76" s="1">
        <v>4.6</v>
      </c>
      <c r="AF76" s="1">
        <v>1.9</v>
      </c>
      <c r="AG76" s="1">
        <v>68.3</v>
      </c>
      <c r="AH76" s="1">
        <v>414.4</v>
      </c>
      <c r="AI76" s="1">
        <v>6.1</v>
      </c>
      <c r="AJ76" s="1">
        <v>10.2</v>
      </c>
      <c r="AK76" s="1">
        <v>8.7</v>
      </c>
      <c r="AL76" s="1">
        <v>1.6</v>
      </c>
      <c r="AM76" s="1">
        <v>20.4</v>
      </c>
      <c r="AN76" s="1">
        <v>6.7</v>
      </c>
      <c r="AO76" s="1">
        <v>53.4</v>
      </c>
      <c r="AP76" s="1">
        <v>0.6</v>
      </c>
      <c r="AQ76" s="1">
        <v>0.3</v>
      </c>
      <c r="AR76" s="1">
        <v>0.8</v>
      </c>
    </row>
    <row r="77" ht="15.75" customHeight="1">
      <c r="A77" s="1" t="str">
        <f>CONCATENATE(Scores!A77,"+++",Scores!C77)</f>
        <v>Oklahoma State+++South Dakota State</v>
      </c>
      <c r="B77" s="1">
        <f>Scores!B77</f>
        <v>44</v>
      </c>
      <c r="C77" s="1">
        <f t="array" ref="C77:W77">XLOOKUP(LEFT(A77,SEARCH("+",A77)-1),'Offensive Data'!$A$2:$A$134,'Offensive Data'!$D$2:$X$134)</f>
        <v>22.3</v>
      </c>
      <c r="D77" s="1">
        <v>37.4</v>
      </c>
      <c r="E77" s="1">
        <v>59.5</v>
      </c>
      <c r="F77" s="1">
        <v>262.3</v>
      </c>
      <c r="G77" s="1">
        <v>1.8</v>
      </c>
      <c r="H77" s="1">
        <v>29.8</v>
      </c>
      <c r="I77" s="1">
        <v>111.8</v>
      </c>
      <c r="J77" s="1">
        <v>3.7</v>
      </c>
      <c r="K77" s="1">
        <v>1.6</v>
      </c>
      <c r="L77" s="1">
        <v>67.3</v>
      </c>
      <c r="M77" s="1">
        <v>374.0</v>
      </c>
      <c r="N77" s="1">
        <v>5.6</v>
      </c>
      <c r="O77" s="1">
        <v>12.1</v>
      </c>
      <c r="P77" s="1">
        <v>6.8</v>
      </c>
      <c r="Q77" s="1">
        <v>1.6</v>
      </c>
      <c r="R77" s="1">
        <v>20.4</v>
      </c>
      <c r="S77" s="1">
        <v>5.0</v>
      </c>
      <c r="T77" s="1">
        <v>43.4</v>
      </c>
      <c r="U77" s="1">
        <v>0.5</v>
      </c>
      <c r="V77" s="1">
        <v>1.4</v>
      </c>
      <c r="W77" s="1">
        <v>1.9</v>
      </c>
      <c r="X77" s="1" t="str">
        <f t="array" ref="X77">XLOOKUP(MID(A77, SEARCH("+++", A77) + 3, LEN(A77)),'Defensive Data'!$A$2:$A$134,'Defensive Data'!$D$2:$X$134)</f>
        <v>#N/A</v>
      </c>
    </row>
    <row r="78" ht="15.75" customHeight="1">
      <c r="A78" s="1" t="str">
        <f>CONCATENATE(Scores!A78,"+++",Scores!C78)</f>
        <v>Oregon+++Idaho</v>
      </c>
      <c r="B78" s="1">
        <f>Scores!B78</f>
        <v>24</v>
      </c>
      <c r="C78" s="1">
        <f t="array" ref="C78:W78">XLOOKUP(LEFT(A78,SEARCH("+",A78)-1),'Offensive Data'!$A$2:$A$134,'Offensive Data'!$D$2:$X$134)</f>
        <v>23.9</v>
      </c>
      <c r="D78" s="1">
        <v>32.9</v>
      </c>
      <c r="E78" s="1">
        <v>72.8</v>
      </c>
      <c r="F78" s="1">
        <v>279.5</v>
      </c>
      <c r="G78" s="1">
        <v>2.1</v>
      </c>
      <c r="H78" s="1">
        <v>35.6</v>
      </c>
      <c r="I78" s="1">
        <v>157.9</v>
      </c>
      <c r="J78" s="1">
        <v>4.4</v>
      </c>
      <c r="K78" s="1">
        <v>2.1</v>
      </c>
      <c r="L78" s="1">
        <v>68.5</v>
      </c>
      <c r="M78" s="1">
        <v>437.4</v>
      </c>
      <c r="N78" s="1">
        <v>6.4</v>
      </c>
      <c r="O78" s="1">
        <v>12.5</v>
      </c>
      <c r="P78" s="1">
        <v>9.1</v>
      </c>
      <c r="Q78" s="1">
        <v>1.5</v>
      </c>
      <c r="R78" s="1">
        <v>23.1</v>
      </c>
      <c r="S78" s="1">
        <v>5.3</v>
      </c>
      <c r="T78" s="1">
        <v>41.4</v>
      </c>
      <c r="U78" s="1">
        <v>0.4</v>
      </c>
      <c r="V78" s="1">
        <v>0.4</v>
      </c>
      <c r="W78" s="1">
        <v>0.8</v>
      </c>
      <c r="X78" s="1" t="str">
        <f t="array" ref="X78">XLOOKUP(MID(A78, SEARCH("+++", A78) + 3, LEN(A78)),'Defensive Data'!$A$2:$A$134,'Defensive Data'!$D$2:$X$134)</f>
        <v>#N/A</v>
      </c>
    </row>
    <row r="79" ht="15.75" customHeight="1">
      <c r="A79" s="1" t="str">
        <f>CONCATENATE(Scores!A79,"+++",Scores!C79)</f>
        <v>Oregon State+++Idaho State</v>
      </c>
      <c r="B79" s="1">
        <f>Scores!B79</f>
        <v>38</v>
      </c>
      <c r="C79" s="1">
        <f t="array" ref="C79:W79">XLOOKUP(LEFT(A79,SEARCH("+",A79)-1),'Offensive Data'!$A$2:$A$134,'Offensive Data'!$D$2:$X$134)</f>
        <v>18</v>
      </c>
      <c r="D79" s="1">
        <v>30.0</v>
      </c>
      <c r="E79" s="1">
        <v>60.0</v>
      </c>
      <c r="F79" s="1">
        <v>201.4</v>
      </c>
      <c r="G79" s="1">
        <v>0.6</v>
      </c>
      <c r="H79" s="1">
        <v>40.3</v>
      </c>
      <c r="I79" s="1">
        <v>189.2</v>
      </c>
      <c r="J79" s="1">
        <v>4.7</v>
      </c>
      <c r="K79" s="1">
        <v>2.4</v>
      </c>
      <c r="L79" s="1">
        <v>70.3</v>
      </c>
      <c r="M79" s="1">
        <v>390.6</v>
      </c>
      <c r="N79" s="1">
        <v>5.6</v>
      </c>
      <c r="O79" s="1">
        <v>9.2</v>
      </c>
      <c r="P79" s="1">
        <v>11.1</v>
      </c>
      <c r="Q79" s="1">
        <v>2.1</v>
      </c>
      <c r="R79" s="1">
        <v>22.3</v>
      </c>
      <c r="S79" s="1">
        <v>5.1</v>
      </c>
      <c r="T79" s="1">
        <v>45.7</v>
      </c>
      <c r="U79" s="1">
        <v>0.4</v>
      </c>
      <c r="V79" s="1">
        <v>0.9</v>
      </c>
      <c r="W79" s="1">
        <v>1.3</v>
      </c>
      <c r="X79" s="1" t="str">
        <f t="array" ref="X79">XLOOKUP(MID(A79, SEARCH("+++", A79) + 3, LEN(A79)),'Defensive Data'!$A$2:$A$134,'Defensive Data'!$D$2:$X$134)</f>
        <v>#N/A</v>
      </c>
    </row>
    <row r="80" ht="15.75" customHeight="1">
      <c r="A80" s="1" t="str">
        <f>CONCATENATE(Scores!A80,"+++",Scores!C80)</f>
        <v>Penn State+++West Virginia</v>
      </c>
      <c r="B80" s="1">
        <f>Scores!B80</f>
        <v>34</v>
      </c>
      <c r="C80" s="1">
        <f t="array" ref="C80:W80">XLOOKUP(LEFT(A80,SEARCH("+",A80)-1),'Offensive Data'!$A$2:$A$134,'Offensive Data'!$D$2:$X$134)</f>
        <v>18.3</v>
      </c>
      <c r="D80" s="1">
        <v>27.3</v>
      </c>
      <c r="E80" s="1">
        <v>66.8</v>
      </c>
      <c r="F80" s="1">
        <v>227.9</v>
      </c>
      <c r="G80" s="1">
        <v>1.9</v>
      </c>
      <c r="H80" s="1">
        <v>38.4</v>
      </c>
      <c r="I80" s="1">
        <v>202.3</v>
      </c>
      <c r="J80" s="1">
        <v>5.3</v>
      </c>
      <c r="K80" s="1">
        <v>2.2</v>
      </c>
      <c r="L80" s="1">
        <v>65.8</v>
      </c>
      <c r="M80" s="1">
        <v>430.2</v>
      </c>
      <c r="N80" s="1">
        <v>6.5</v>
      </c>
      <c r="O80" s="1">
        <v>11.1</v>
      </c>
      <c r="P80" s="1">
        <v>10.5</v>
      </c>
      <c r="Q80" s="1">
        <v>1.4</v>
      </c>
      <c r="R80" s="1">
        <v>22.9</v>
      </c>
      <c r="S80" s="1">
        <v>5.3</v>
      </c>
      <c r="T80" s="1">
        <v>50.3</v>
      </c>
      <c r="U80" s="1">
        <v>0.3</v>
      </c>
      <c r="V80" s="1">
        <v>0.6</v>
      </c>
      <c r="W80" s="1">
        <v>0.9</v>
      </c>
      <c r="X80" s="1">
        <f t="array" ref="X80:AR80">XLOOKUP(MID(A80, SEARCH("+++", A80) + 3, LEN(A80)),'Defensive Data'!$A$2:$A$134,'Defensive Data'!$D$2:$X$134)</f>
        <v>19</v>
      </c>
      <c r="Y80" s="1">
        <v>29.7</v>
      </c>
      <c r="Z80" s="1">
        <v>64.0</v>
      </c>
      <c r="AA80" s="1">
        <v>270.8</v>
      </c>
      <c r="AB80" s="1">
        <v>2.0</v>
      </c>
      <c r="AC80" s="1">
        <v>34.2</v>
      </c>
      <c r="AD80" s="1">
        <v>144.4</v>
      </c>
      <c r="AE80" s="1">
        <v>4.2</v>
      </c>
      <c r="AF80" s="1">
        <v>2.2</v>
      </c>
      <c r="AG80" s="1">
        <v>63.8</v>
      </c>
      <c r="AH80" s="1">
        <v>415.2</v>
      </c>
      <c r="AI80" s="1">
        <v>6.5</v>
      </c>
      <c r="AJ80" s="1">
        <v>12.0</v>
      </c>
      <c r="AK80" s="1">
        <v>8.4</v>
      </c>
      <c r="AL80" s="1">
        <v>1.4</v>
      </c>
      <c r="AM80" s="1">
        <v>21.8</v>
      </c>
      <c r="AN80" s="1">
        <v>5.9</v>
      </c>
      <c r="AO80" s="1">
        <v>51.1</v>
      </c>
      <c r="AP80" s="1">
        <v>0.5</v>
      </c>
      <c r="AQ80" s="1">
        <v>0.4</v>
      </c>
      <c r="AR80" s="1">
        <v>0.8</v>
      </c>
    </row>
    <row r="81" ht="15.75" customHeight="1">
      <c r="A81" s="1" t="str">
        <f>CONCATENATE(Scores!A81,"+++",Scores!C81)</f>
        <v>Pittsburgh+++Kent State</v>
      </c>
      <c r="B81" s="1">
        <f>Scores!B81</f>
        <v>55</v>
      </c>
      <c r="C81" s="1" t="str">
        <f t="array" ref="C81">XLOOKUP(LEFT(A81,SEARCH("+",A81)-1),'Offensive Data'!$A$2:$A$134,'Offensive Data'!$D$2:$X$134)</f>
        <v>#N/A</v>
      </c>
      <c r="X81" s="1" t="str">
        <f t="array" ref="X81">XLOOKUP(MID(A81, SEARCH("+++", A81) + 3, LEN(A81)),'Defensive Data'!$A$2:$A$134,'Defensive Data'!$D$2:$X$134)</f>
        <v>#N/A</v>
      </c>
    </row>
    <row r="82" ht="15.75" customHeight="1">
      <c r="A82" s="1" t="str">
        <f>CONCATENATE(Scores!A82,"+++",Scores!C82)</f>
        <v>Purdue+++Indiana State</v>
      </c>
      <c r="B82" s="1">
        <f>Scores!B82</f>
        <v>49</v>
      </c>
      <c r="C82" s="1">
        <f t="array" ref="C82:W82">XLOOKUP(LEFT(A82,SEARCH("+",A82)-1),'Offensive Data'!$A$2:$A$134,'Offensive Data'!$D$2:$X$134)</f>
        <v>15.8</v>
      </c>
      <c r="D82" s="1">
        <v>27.4</v>
      </c>
      <c r="E82" s="1">
        <v>57.4</v>
      </c>
      <c r="F82" s="1">
        <v>183.9</v>
      </c>
      <c r="G82" s="1">
        <v>1.1</v>
      </c>
      <c r="H82" s="1">
        <v>28.9</v>
      </c>
      <c r="I82" s="1">
        <v>115.3</v>
      </c>
      <c r="J82" s="1">
        <v>4.0</v>
      </c>
      <c r="K82" s="1">
        <v>0.8</v>
      </c>
      <c r="L82" s="1">
        <v>56.3</v>
      </c>
      <c r="M82" s="1">
        <v>299.3</v>
      </c>
      <c r="N82" s="1">
        <v>5.3</v>
      </c>
      <c r="O82" s="1">
        <v>8.3</v>
      </c>
      <c r="P82" s="1">
        <v>5.4</v>
      </c>
      <c r="Q82" s="1">
        <v>0.9</v>
      </c>
      <c r="R82" s="1">
        <v>14.6</v>
      </c>
      <c r="S82" s="1">
        <v>5.5</v>
      </c>
      <c r="T82" s="1">
        <v>51.8</v>
      </c>
      <c r="U82" s="1">
        <v>0.8</v>
      </c>
      <c r="V82" s="1">
        <v>0.8</v>
      </c>
      <c r="W82" s="1">
        <v>1.6</v>
      </c>
      <c r="X82" s="1" t="str">
        <f t="array" ref="X82">XLOOKUP(MID(A82, SEARCH("+++", A82) + 3, LEN(A82)),'Defensive Data'!$A$2:$A$134,'Defensive Data'!$D$2:$X$134)</f>
        <v>#N/A</v>
      </c>
    </row>
    <row r="83" ht="15.75" customHeight="1">
      <c r="A83" s="1" t="str">
        <f>CONCATENATE(Scores!A83,"+++",Scores!C83)</f>
        <v>Sam Houston+++Rice</v>
      </c>
      <c r="B83" s="1">
        <f>Scores!B83</f>
        <v>34</v>
      </c>
      <c r="C83" s="1">
        <f t="array" ref="C83:W83">XLOOKUP(LEFT(A83,SEARCH("+",A83)-1),'Offensive Data'!$A$2:$A$134,'Offensive Data'!$D$2:$X$134)</f>
        <v>16.7</v>
      </c>
      <c r="D83" s="1">
        <v>26.9</v>
      </c>
      <c r="E83" s="1">
        <v>62.0</v>
      </c>
      <c r="F83" s="1">
        <v>168.2</v>
      </c>
      <c r="G83" s="1">
        <v>1.2</v>
      </c>
      <c r="H83" s="1">
        <v>42.8</v>
      </c>
      <c r="I83" s="1">
        <v>179.8</v>
      </c>
      <c r="J83" s="1">
        <v>4.2</v>
      </c>
      <c r="K83" s="1">
        <v>1.6</v>
      </c>
      <c r="L83" s="1">
        <v>69.8</v>
      </c>
      <c r="M83" s="1">
        <v>347.9</v>
      </c>
      <c r="N83" s="1">
        <v>5.0</v>
      </c>
      <c r="O83" s="1">
        <v>8.0</v>
      </c>
      <c r="P83" s="1">
        <v>9.5</v>
      </c>
      <c r="Q83" s="1">
        <v>1.4</v>
      </c>
      <c r="R83" s="1">
        <v>18.8</v>
      </c>
      <c r="S83" s="1">
        <v>4.6</v>
      </c>
      <c r="T83" s="1">
        <v>37.9</v>
      </c>
      <c r="U83" s="1">
        <v>0.5</v>
      </c>
      <c r="V83" s="1">
        <v>0.7</v>
      </c>
      <c r="W83" s="1">
        <v>1.2</v>
      </c>
      <c r="X83" s="1">
        <f t="array" ref="X83:AR83">XLOOKUP(MID(A83, SEARCH("+++", A83) + 3, LEN(A83)),'Defensive Data'!$A$2:$A$134,'Defensive Data'!$D$2:$X$134)</f>
        <v>15</v>
      </c>
      <c r="Y83" s="1">
        <v>27.1</v>
      </c>
      <c r="Z83" s="1">
        <v>55.4</v>
      </c>
      <c r="AA83" s="1">
        <v>173.8</v>
      </c>
      <c r="AB83" s="1">
        <v>1.5</v>
      </c>
      <c r="AC83" s="1">
        <v>39.3</v>
      </c>
      <c r="AD83" s="1">
        <v>160.6</v>
      </c>
      <c r="AE83" s="1">
        <v>4.1</v>
      </c>
      <c r="AF83" s="1">
        <v>1.4</v>
      </c>
      <c r="AG83" s="1">
        <v>66.3</v>
      </c>
      <c r="AH83" s="1">
        <v>334.4</v>
      </c>
      <c r="AI83" s="1">
        <v>5.0</v>
      </c>
      <c r="AJ83" s="1">
        <v>7.2</v>
      </c>
      <c r="AK83" s="1">
        <v>9.1</v>
      </c>
      <c r="AL83" s="1">
        <v>1.6</v>
      </c>
      <c r="AM83" s="1">
        <v>17.8</v>
      </c>
      <c r="AN83" s="1">
        <v>6.2</v>
      </c>
      <c r="AO83" s="1">
        <v>59.0</v>
      </c>
      <c r="AP83" s="1">
        <v>0.3</v>
      </c>
      <c r="AQ83" s="1">
        <v>0.7</v>
      </c>
      <c r="AR83" s="1">
        <v>1.0</v>
      </c>
    </row>
    <row r="84" ht="15.75" customHeight="1">
      <c r="A84" s="1" t="str">
        <f>CONCATENATE(Scores!A84,"+++",Scores!C84)</f>
        <v>San Diego State+++Texas A&amp;M-Commerce</v>
      </c>
      <c r="B84" s="1">
        <f>Scores!B84</f>
        <v>45</v>
      </c>
      <c r="C84" s="1">
        <f t="array" ref="C84:W84">XLOOKUP(LEFT(A84,SEARCH("+",A84)-1),'Offensive Data'!$A$2:$A$134,'Offensive Data'!$D$2:$X$134)</f>
        <v>19.5</v>
      </c>
      <c r="D84" s="1">
        <v>31.3</v>
      </c>
      <c r="E84" s="1">
        <v>62.4</v>
      </c>
      <c r="F84" s="1">
        <v>205.7</v>
      </c>
      <c r="G84" s="1">
        <v>1.3</v>
      </c>
      <c r="H84" s="1">
        <v>35.3</v>
      </c>
      <c r="I84" s="1">
        <v>128.9</v>
      </c>
      <c r="J84" s="1">
        <v>3.6</v>
      </c>
      <c r="K84" s="1">
        <v>1.1</v>
      </c>
      <c r="L84" s="1">
        <v>66.6</v>
      </c>
      <c r="M84" s="1">
        <v>334.6</v>
      </c>
      <c r="N84" s="1">
        <v>5.0</v>
      </c>
      <c r="O84" s="1">
        <v>9.5</v>
      </c>
      <c r="P84" s="1">
        <v>6.9</v>
      </c>
      <c r="Q84" s="1">
        <v>2.1</v>
      </c>
      <c r="R84" s="1">
        <v>18.5</v>
      </c>
      <c r="S84" s="1">
        <v>9.1</v>
      </c>
      <c r="T84" s="1">
        <v>81.8</v>
      </c>
      <c r="U84" s="1">
        <v>0.1</v>
      </c>
      <c r="V84" s="1">
        <v>0.7</v>
      </c>
      <c r="W84" s="1">
        <v>0.8</v>
      </c>
      <c r="X84" s="1" t="str">
        <f t="array" ref="X84">XLOOKUP(MID(A84, SEARCH("+++", A84) + 3, LEN(A84)),'Defensive Data'!$A$2:$A$134,'Defensive Data'!$D$2:$X$134)</f>
        <v>#N/A</v>
      </c>
    </row>
    <row r="85" ht="15.75" customHeight="1">
      <c r="A85" s="1" t="str">
        <f>CONCATENATE(Scores!A85,"+++",Scores!C85)</f>
        <v>South Carolina+++Old Dominion</v>
      </c>
      <c r="B85" s="1">
        <f>Scores!B85</f>
        <v>23</v>
      </c>
      <c r="C85" s="1">
        <f t="array" ref="C85:W85">XLOOKUP(LEFT(A85,SEARCH("+",A85)-1),'Offensive Data'!$A$2:$A$134,'Offensive Data'!$D$2:$X$134)</f>
        <v>17.2</v>
      </c>
      <c r="D85" s="1">
        <v>26.3</v>
      </c>
      <c r="E85" s="1">
        <v>65.5</v>
      </c>
      <c r="F85" s="1">
        <v>223.4</v>
      </c>
      <c r="G85" s="1">
        <v>1.6</v>
      </c>
      <c r="H85" s="1">
        <v>42.4</v>
      </c>
      <c r="I85" s="1">
        <v>184.4</v>
      </c>
      <c r="J85" s="1">
        <v>4.4</v>
      </c>
      <c r="K85" s="1">
        <v>2.0</v>
      </c>
      <c r="L85" s="1">
        <v>68.7</v>
      </c>
      <c r="M85" s="1">
        <v>407.8</v>
      </c>
      <c r="N85" s="1">
        <v>5.9</v>
      </c>
      <c r="O85" s="1">
        <v>9.6</v>
      </c>
      <c r="P85" s="1">
        <v>10.3</v>
      </c>
      <c r="Q85" s="1">
        <v>1.6</v>
      </c>
      <c r="R85" s="1">
        <v>21.5</v>
      </c>
      <c r="S85" s="1">
        <v>6.7</v>
      </c>
      <c r="T85" s="1">
        <v>58.0</v>
      </c>
      <c r="U85" s="1">
        <v>1.1</v>
      </c>
      <c r="V85" s="1">
        <v>0.5</v>
      </c>
      <c r="W85" s="1">
        <v>1.6</v>
      </c>
      <c r="X85" s="1">
        <f t="array" ref="X85:AR85">XLOOKUP(MID(A85, SEARCH("+++", A85) + 3, LEN(A85)),'Defensive Data'!$A$2:$A$134,'Defensive Data'!$D$2:$X$134)</f>
        <v>19</v>
      </c>
      <c r="Y85" s="1">
        <v>31.2</v>
      </c>
      <c r="Z85" s="1">
        <v>61.0</v>
      </c>
      <c r="AA85" s="1">
        <v>237.8</v>
      </c>
      <c r="AB85" s="1">
        <v>1.9</v>
      </c>
      <c r="AC85" s="1">
        <v>40.4</v>
      </c>
      <c r="AD85" s="1">
        <v>172.6</v>
      </c>
      <c r="AE85" s="1">
        <v>4.3</v>
      </c>
      <c r="AF85" s="1">
        <v>1.5</v>
      </c>
      <c r="AG85" s="1">
        <v>71.6</v>
      </c>
      <c r="AH85" s="1">
        <v>410.4</v>
      </c>
      <c r="AI85" s="1">
        <v>5.7</v>
      </c>
      <c r="AJ85" s="1">
        <v>9.8</v>
      </c>
      <c r="AK85" s="1">
        <v>9.7</v>
      </c>
      <c r="AL85" s="1">
        <v>1.8</v>
      </c>
      <c r="AM85" s="1">
        <v>21.3</v>
      </c>
      <c r="AN85" s="1">
        <v>5.9</v>
      </c>
      <c r="AO85" s="1">
        <v>49.2</v>
      </c>
      <c r="AP85" s="1">
        <v>0.4</v>
      </c>
      <c r="AQ85" s="1">
        <v>1.0</v>
      </c>
      <c r="AR85" s="1">
        <v>1.4</v>
      </c>
    </row>
    <row r="86" ht="15.75" customHeight="1">
      <c r="A86" s="1" t="str">
        <f>CONCATENATE(Scores!A86,"+++",Scores!C86)</f>
        <v>South Florida+++Bethune-Cookman</v>
      </c>
      <c r="B86" s="1">
        <f>Scores!B86</f>
        <v>48</v>
      </c>
      <c r="C86" s="1">
        <f t="array" ref="C86:W86">XLOOKUP(LEFT(A86,SEARCH("+",A86)-1),'Offensive Data'!$A$2:$A$134,'Offensive Data'!$D$2:$X$134)</f>
        <v>20.2</v>
      </c>
      <c r="D86" s="1">
        <v>34.1</v>
      </c>
      <c r="E86" s="1">
        <v>59.1</v>
      </c>
      <c r="F86" s="1">
        <v>227.5</v>
      </c>
      <c r="G86" s="1">
        <v>1.2</v>
      </c>
      <c r="H86" s="1">
        <v>37.8</v>
      </c>
      <c r="I86" s="1">
        <v>180.2</v>
      </c>
      <c r="J86" s="1">
        <v>4.8</v>
      </c>
      <c r="K86" s="1">
        <v>2.6</v>
      </c>
      <c r="L86" s="1">
        <v>71.9</v>
      </c>
      <c r="M86" s="1">
        <v>407.7</v>
      </c>
      <c r="N86" s="1">
        <v>5.7</v>
      </c>
      <c r="O86" s="1">
        <v>10.0</v>
      </c>
      <c r="P86" s="1">
        <v>8.2</v>
      </c>
      <c r="Q86" s="1">
        <v>2.2</v>
      </c>
      <c r="R86" s="1">
        <v>20.4</v>
      </c>
      <c r="S86" s="1">
        <v>8.1</v>
      </c>
      <c r="T86" s="1">
        <v>70.9</v>
      </c>
      <c r="U86" s="1">
        <v>0.6</v>
      </c>
      <c r="V86" s="1">
        <v>0.8</v>
      </c>
      <c r="W86" s="1">
        <v>1.4</v>
      </c>
      <c r="X86" s="1" t="str">
        <f t="array" ref="X86">XLOOKUP(MID(A86, SEARCH("+++", A86) + 3, LEN(A86)),'Defensive Data'!$A$2:$A$134,'Defensive Data'!$D$2:$X$134)</f>
        <v>#N/A</v>
      </c>
    </row>
    <row r="87" ht="15.75" customHeight="1">
      <c r="A87" s="1" t="str">
        <f>CONCATENATE(Scores!A87,"+++",Scores!C87)</f>
        <v>Southern Methodist+++Houston Baptist</v>
      </c>
      <c r="B87" s="1">
        <f>Scores!B87</f>
        <v>59</v>
      </c>
      <c r="C87" s="1" t="str">
        <f t="array" ref="C87">XLOOKUP(LEFT(A87,SEARCH("+",A87)-1),'Offensive Data'!$A$2:$A$134,'Offensive Data'!$D$2:$X$134)</f>
        <v>#N/A</v>
      </c>
      <c r="X87" s="1" t="str">
        <f t="array" ref="X87">XLOOKUP(MID(A87, SEARCH("+++", A87) + 3, LEN(A87)),'Defensive Data'!$A$2:$A$134,'Defensive Data'!$D$2:$X$134)</f>
        <v>#N/A</v>
      </c>
    </row>
    <row r="88" ht="15.75" customHeight="1">
      <c r="A88" s="1" t="str">
        <f>CONCATENATE(Scores!A88,"+++",Scores!C88)</f>
        <v>Syracuse+++Ohio</v>
      </c>
      <c r="B88" s="1">
        <f>Scores!B88</f>
        <v>38</v>
      </c>
      <c r="C88" s="1">
        <f t="array" ref="C88:W88">XLOOKUP(LEFT(A88,SEARCH("+",A88)-1),'Offensive Data'!$A$2:$A$134,'Offensive Data'!$D$2:$X$134)</f>
        <v>30.2</v>
      </c>
      <c r="D88" s="1">
        <v>46.0</v>
      </c>
      <c r="E88" s="1">
        <v>65.7</v>
      </c>
      <c r="F88" s="1">
        <v>370.0</v>
      </c>
      <c r="G88" s="1">
        <v>2.6</v>
      </c>
      <c r="H88" s="1">
        <v>30.9</v>
      </c>
      <c r="I88" s="1">
        <v>97.6</v>
      </c>
      <c r="J88" s="1">
        <v>3.2</v>
      </c>
      <c r="K88" s="1">
        <v>1.7</v>
      </c>
      <c r="L88" s="1">
        <v>76.9</v>
      </c>
      <c r="M88" s="1">
        <v>467.6</v>
      </c>
      <c r="N88" s="1">
        <v>6.1</v>
      </c>
      <c r="O88" s="1">
        <v>17.8</v>
      </c>
      <c r="P88" s="1">
        <v>6.5</v>
      </c>
      <c r="Q88" s="1">
        <v>1.8</v>
      </c>
      <c r="R88" s="1">
        <v>26.0</v>
      </c>
      <c r="S88" s="1">
        <v>7.1</v>
      </c>
      <c r="T88" s="1">
        <v>59.2</v>
      </c>
      <c r="U88" s="1">
        <v>0.2</v>
      </c>
      <c r="V88" s="1">
        <v>0.9</v>
      </c>
      <c r="W88" s="1">
        <v>1.2</v>
      </c>
      <c r="X88" s="1">
        <f t="array" ref="X88:AR88">XLOOKUP(MID(A88, SEARCH("+++", A88) + 3, LEN(A88)),'Defensive Data'!$A$2:$A$134,'Defensive Data'!$D$2:$X$134)</f>
        <v>18.9</v>
      </c>
      <c r="Y88" s="1">
        <v>31.0</v>
      </c>
      <c r="Z88" s="1">
        <v>61.1</v>
      </c>
      <c r="AA88" s="1">
        <v>212.6</v>
      </c>
      <c r="AB88" s="1">
        <v>1.1</v>
      </c>
      <c r="AC88" s="1">
        <v>30.7</v>
      </c>
      <c r="AD88" s="1">
        <v>90.6</v>
      </c>
      <c r="AE88" s="1">
        <v>2.9</v>
      </c>
      <c r="AF88" s="1">
        <v>1.0</v>
      </c>
      <c r="AG88" s="1">
        <v>61.7</v>
      </c>
      <c r="AH88" s="1">
        <v>303.1</v>
      </c>
      <c r="AI88" s="1">
        <v>4.9</v>
      </c>
      <c r="AJ88" s="1">
        <v>9.8</v>
      </c>
      <c r="AK88" s="1">
        <v>5.8</v>
      </c>
      <c r="AL88" s="1">
        <v>1.0</v>
      </c>
      <c r="AM88" s="1">
        <v>16.6</v>
      </c>
      <c r="AN88" s="1">
        <v>5.7</v>
      </c>
      <c r="AO88" s="1">
        <v>52.4</v>
      </c>
      <c r="AP88" s="1">
        <v>0.6</v>
      </c>
      <c r="AQ88" s="1">
        <v>0.8</v>
      </c>
      <c r="AR88" s="1">
        <v>1.4</v>
      </c>
    </row>
    <row r="89" ht="15.75" customHeight="1">
      <c r="A89" s="1" t="str">
        <f>CONCATENATE(Scores!A89,"+++",Scores!C89)</f>
        <v>Tennessee+++Chattanooga</v>
      </c>
      <c r="B89" s="1">
        <f>Scores!B89</f>
        <v>69</v>
      </c>
      <c r="C89" s="1">
        <f t="array" ref="C89:W89">XLOOKUP(LEFT(A89,SEARCH("+",A89)-1),'Offensive Data'!$A$2:$A$134,'Offensive Data'!$D$2:$X$134)</f>
        <v>18.2</v>
      </c>
      <c r="D89" s="1">
        <v>28.8</v>
      </c>
      <c r="E89" s="1">
        <v>63.1</v>
      </c>
      <c r="F89" s="1">
        <v>221.2</v>
      </c>
      <c r="G89" s="1">
        <v>1.6</v>
      </c>
      <c r="H89" s="1">
        <v>44.9</v>
      </c>
      <c r="I89" s="1">
        <v>225.8</v>
      </c>
      <c r="J89" s="1">
        <v>5.0</v>
      </c>
      <c r="K89" s="1">
        <v>2.6</v>
      </c>
      <c r="L89" s="1">
        <v>73.7</v>
      </c>
      <c r="M89" s="1">
        <v>447.0</v>
      </c>
      <c r="N89" s="1">
        <v>6.1</v>
      </c>
      <c r="O89" s="1">
        <v>10.4</v>
      </c>
      <c r="P89" s="1">
        <v>11.6</v>
      </c>
      <c r="Q89" s="1">
        <v>1.4</v>
      </c>
      <c r="R89" s="1">
        <v>23.4</v>
      </c>
      <c r="S89" s="1">
        <v>8.1</v>
      </c>
      <c r="T89" s="1">
        <v>66.8</v>
      </c>
      <c r="U89" s="1">
        <v>0.6</v>
      </c>
      <c r="V89" s="1">
        <v>0.5</v>
      </c>
      <c r="W89" s="1">
        <v>1.2</v>
      </c>
      <c r="X89" s="1" t="str">
        <f t="array" ref="X89">XLOOKUP(MID(A89, SEARCH("+++", A89) + 3, LEN(A89)),'Defensive Data'!$A$2:$A$134,'Defensive Data'!$D$2:$X$134)</f>
        <v>#N/A</v>
      </c>
    </row>
    <row r="90" ht="15.75" customHeight="1">
      <c r="A90" s="1" t="str">
        <f>CONCATENATE(Scores!A90,"+++",Scores!C90)</f>
        <v>Texas+++Colorado State</v>
      </c>
      <c r="B90" s="1">
        <f>Scores!B90</f>
        <v>52</v>
      </c>
      <c r="C90" s="1">
        <f t="array" ref="C90:W90">XLOOKUP(LEFT(A90,SEARCH("+",A90)-1),'Offensive Data'!$A$2:$A$134,'Offensive Data'!$D$2:$X$134)</f>
        <v>22.3</v>
      </c>
      <c r="D90" s="1">
        <v>33.8</v>
      </c>
      <c r="E90" s="1">
        <v>66.0</v>
      </c>
      <c r="F90" s="1">
        <v>278.8</v>
      </c>
      <c r="G90" s="1">
        <v>2.5</v>
      </c>
      <c r="H90" s="1">
        <v>36.6</v>
      </c>
      <c r="I90" s="1">
        <v>158.8</v>
      </c>
      <c r="J90" s="1">
        <v>4.3</v>
      </c>
      <c r="K90" s="1">
        <v>1.6</v>
      </c>
      <c r="L90" s="1">
        <v>70.4</v>
      </c>
      <c r="M90" s="1">
        <v>437.5</v>
      </c>
      <c r="N90" s="1">
        <v>6.2</v>
      </c>
      <c r="O90" s="1">
        <v>11.8</v>
      </c>
      <c r="P90" s="1">
        <v>8.6</v>
      </c>
      <c r="Q90" s="1">
        <v>1.8</v>
      </c>
      <c r="R90" s="1">
        <v>22.1</v>
      </c>
      <c r="S90" s="1">
        <v>6.4</v>
      </c>
      <c r="T90" s="1">
        <v>51.8</v>
      </c>
      <c r="U90" s="1">
        <v>0.8</v>
      </c>
      <c r="V90" s="1">
        <v>0.9</v>
      </c>
      <c r="W90" s="1">
        <v>1.6</v>
      </c>
      <c r="X90" s="1">
        <f t="array" ref="X90:AR90">XLOOKUP(MID(A90, SEARCH("+++", A90) + 3, LEN(A90)),'Defensive Data'!$A$2:$A$134,'Defensive Data'!$D$2:$X$134)</f>
        <v>20.2</v>
      </c>
      <c r="Y90" s="1">
        <v>32.9</v>
      </c>
      <c r="Z90" s="1">
        <v>61.2</v>
      </c>
      <c r="AA90" s="1">
        <v>234.7</v>
      </c>
      <c r="AB90" s="1">
        <v>1.5</v>
      </c>
      <c r="AC90" s="1">
        <v>35.2</v>
      </c>
      <c r="AD90" s="1">
        <v>159.8</v>
      </c>
      <c r="AE90" s="1">
        <v>4.5</v>
      </c>
      <c r="AF90" s="1">
        <v>1.6</v>
      </c>
      <c r="AG90" s="1">
        <v>68.1</v>
      </c>
      <c r="AH90" s="1">
        <v>394.5</v>
      </c>
      <c r="AI90" s="1">
        <v>5.8</v>
      </c>
      <c r="AJ90" s="1">
        <v>10.4</v>
      </c>
      <c r="AK90" s="1">
        <v>7.8</v>
      </c>
      <c r="AL90" s="1">
        <v>1.8</v>
      </c>
      <c r="AM90" s="1">
        <v>20.0</v>
      </c>
      <c r="AN90" s="1">
        <v>6.7</v>
      </c>
      <c r="AO90" s="1">
        <v>56.2</v>
      </c>
      <c r="AP90" s="1">
        <v>0.8</v>
      </c>
      <c r="AQ90" s="1">
        <v>0.8</v>
      </c>
      <c r="AR90" s="1">
        <v>1.6</v>
      </c>
    </row>
    <row r="91" ht="15.75" customHeight="1">
      <c r="A91" s="1" t="str">
        <f>CONCATENATE(Scores!A91,"+++",Scores!C91)</f>
        <v>Texas State+++Lamar</v>
      </c>
      <c r="B91" s="1">
        <f>Scores!B91</f>
        <v>34</v>
      </c>
      <c r="C91" s="1">
        <f t="array" ref="C91:W91">XLOOKUP(LEFT(A91,SEARCH("+",A91)-1),'Offensive Data'!$A$2:$A$134,'Offensive Data'!$D$2:$X$134)</f>
        <v>23</v>
      </c>
      <c r="D91" s="1">
        <v>32.9</v>
      </c>
      <c r="E91" s="1">
        <v>69.9</v>
      </c>
      <c r="F91" s="1">
        <v>268.7</v>
      </c>
      <c r="G91" s="1">
        <v>2.4</v>
      </c>
      <c r="H91" s="1">
        <v>40.7</v>
      </c>
      <c r="I91" s="1">
        <v>208.2</v>
      </c>
      <c r="J91" s="1">
        <v>5.1</v>
      </c>
      <c r="K91" s="1">
        <v>2.1</v>
      </c>
      <c r="L91" s="1">
        <v>73.6</v>
      </c>
      <c r="M91" s="1">
        <v>476.9</v>
      </c>
      <c r="N91" s="1">
        <v>6.5</v>
      </c>
      <c r="O91" s="1">
        <v>12.4</v>
      </c>
      <c r="P91" s="1">
        <v>12.1</v>
      </c>
      <c r="Q91" s="1">
        <v>1.6</v>
      </c>
      <c r="R91" s="1">
        <v>26.1</v>
      </c>
      <c r="S91" s="1">
        <v>6.8</v>
      </c>
      <c r="T91" s="1">
        <v>64.2</v>
      </c>
      <c r="U91" s="1">
        <v>0.7</v>
      </c>
      <c r="V91" s="1">
        <v>1.1</v>
      </c>
      <c r="W91" s="1">
        <v>1.8</v>
      </c>
      <c r="X91" s="1" t="str">
        <f t="array" ref="X91">XLOOKUP(MID(A91, SEARCH("+++", A91) + 3, LEN(A91)),'Defensive Data'!$A$2:$A$134,'Defensive Data'!$D$2:$X$134)</f>
        <v>#N/A</v>
      </c>
    </row>
    <row r="92" ht="15.75" customHeight="1">
      <c r="A92" s="1" t="str">
        <f>CONCATENATE(Scores!A92,"+++",Scores!C92)</f>
        <v>Texas Tech+++Abilene Christian</v>
      </c>
      <c r="B92" s="1">
        <f>Scores!B92</f>
        <v>52</v>
      </c>
      <c r="C92" s="1">
        <f t="array" ref="C92:W92">XLOOKUP(LEFT(A92,SEARCH("+",A92)-1),'Offensive Data'!$A$2:$A$134,'Offensive Data'!$D$2:$X$134)</f>
        <v>25.8</v>
      </c>
      <c r="D92" s="1">
        <v>41.2</v>
      </c>
      <c r="E92" s="1">
        <v>62.7</v>
      </c>
      <c r="F92" s="1">
        <v>296.7</v>
      </c>
      <c r="G92" s="1">
        <v>2.4</v>
      </c>
      <c r="H92" s="1">
        <v>36.5</v>
      </c>
      <c r="I92" s="1">
        <v>166.0</v>
      </c>
      <c r="J92" s="1">
        <v>4.6</v>
      </c>
      <c r="K92" s="1">
        <v>2.0</v>
      </c>
      <c r="L92" s="1">
        <v>77.7</v>
      </c>
      <c r="M92" s="1">
        <v>462.7</v>
      </c>
      <c r="N92" s="1">
        <v>6.0</v>
      </c>
      <c r="O92" s="1">
        <v>13.4</v>
      </c>
      <c r="P92" s="1">
        <v>9.5</v>
      </c>
      <c r="Q92" s="1">
        <v>1.6</v>
      </c>
      <c r="R92" s="1">
        <v>24.5</v>
      </c>
      <c r="S92" s="1">
        <v>7.3</v>
      </c>
      <c r="T92" s="1">
        <v>60.9</v>
      </c>
      <c r="U92" s="1">
        <v>0.8</v>
      </c>
      <c r="V92" s="1">
        <v>0.8</v>
      </c>
      <c r="W92" s="1">
        <v>1.6</v>
      </c>
      <c r="X92" s="1" t="str">
        <f t="array" ref="X92">XLOOKUP(MID(A92, SEARCH("+++", A92) + 3, LEN(A92)),'Defensive Data'!$A$2:$A$134,'Defensive Data'!$D$2:$X$134)</f>
        <v>#N/A</v>
      </c>
    </row>
    <row r="93" ht="15.75" customHeight="1">
      <c r="A93" s="1" t="str">
        <f>CONCATENATE(Scores!A93,"+++",Scores!C93)</f>
        <v>Texas-San Antonio+++Kennesaw State</v>
      </c>
      <c r="B93" s="1">
        <f>Scores!B93</f>
        <v>28</v>
      </c>
      <c r="C93" s="1" t="str">
        <f t="array" ref="C93">XLOOKUP(LEFT(A93,SEARCH("+",A93)-1),'Offensive Data'!$A$2:$A$134,'Offensive Data'!$D$2:$X$134)</f>
        <v>#N/A</v>
      </c>
      <c r="X93" s="1">
        <f t="array" ref="X93:AR93">XLOOKUP(MID(A93, SEARCH("+++", A93) + 3, LEN(A93)),'Defensive Data'!$A$2:$A$134,'Defensive Data'!$D$2:$X$134)</f>
        <v>20.3</v>
      </c>
      <c r="Y93" s="1">
        <v>30.1</v>
      </c>
      <c r="Z93" s="1">
        <v>67.3</v>
      </c>
      <c r="AA93" s="1">
        <v>236.8</v>
      </c>
      <c r="AB93" s="1">
        <v>1.8</v>
      </c>
      <c r="AC93" s="1">
        <v>38.2</v>
      </c>
      <c r="AD93" s="1">
        <v>175.9</v>
      </c>
      <c r="AE93" s="1">
        <v>4.6</v>
      </c>
      <c r="AF93" s="1">
        <v>2.1</v>
      </c>
      <c r="AG93" s="1">
        <v>68.3</v>
      </c>
      <c r="AH93" s="1">
        <v>412.7</v>
      </c>
      <c r="AI93" s="1">
        <v>6.0</v>
      </c>
      <c r="AJ93" s="1">
        <v>9.8</v>
      </c>
      <c r="AK93" s="1">
        <v>9.9</v>
      </c>
      <c r="AL93" s="1">
        <v>1.4</v>
      </c>
      <c r="AM93" s="1">
        <v>21.1</v>
      </c>
      <c r="AN93" s="1">
        <v>5.3</v>
      </c>
      <c r="AO93" s="1">
        <v>50.5</v>
      </c>
      <c r="AP93" s="1">
        <v>0.7</v>
      </c>
      <c r="AQ93" s="1">
        <v>0.3</v>
      </c>
      <c r="AR93" s="1">
        <v>1.0</v>
      </c>
    </row>
    <row r="94" ht="15.75" customHeight="1">
      <c r="A94" s="1" t="str">
        <f>CONCATENATE(Scores!A94,"+++",Scores!C94)</f>
        <v>UCLA+++Hawaii</v>
      </c>
      <c r="B94" s="1">
        <f>Scores!B94</f>
        <v>16</v>
      </c>
      <c r="C94" s="1">
        <f t="array" ref="C94:W94">XLOOKUP(LEFT(A94,SEARCH("+",A94)-1),'Offensive Data'!$A$2:$A$134,'Offensive Data'!$D$2:$X$134)</f>
        <v>21.6</v>
      </c>
      <c r="D94" s="1">
        <v>33.2</v>
      </c>
      <c r="E94" s="1">
        <v>65.1</v>
      </c>
      <c r="F94" s="1">
        <v>242.2</v>
      </c>
      <c r="G94" s="1">
        <v>1.4</v>
      </c>
      <c r="H94" s="1">
        <v>28.2</v>
      </c>
      <c r="I94" s="1">
        <v>86.6</v>
      </c>
      <c r="J94" s="1">
        <v>3.1</v>
      </c>
      <c r="K94" s="1">
        <v>0.3</v>
      </c>
      <c r="L94" s="1">
        <v>61.3</v>
      </c>
      <c r="M94" s="1">
        <v>328.8</v>
      </c>
      <c r="N94" s="1">
        <v>5.4</v>
      </c>
      <c r="O94" s="1">
        <v>11.3</v>
      </c>
      <c r="P94" s="1">
        <v>5.2</v>
      </c>
      <c r="Q94" s="1">
        <v>1.5</v>
      </c>
      <c r="R94" s="1">
        <v>18.0</v>
      </c>
      <c r="S94" s="1">
        <v>8.2</v>
      </c>
      <c r="T94" s="1">
        <v>68.9</v>
      </c>
      <c r="U94" s="1">
        <v>0.5</v>
      </c>
      <c r="V94" s="1">
        <v>0.9</v>
      </c>
      <c r="W94" s="1">
        <v>1.4</v>
      </c>
      <c r="X94" s="1">
        <f t="array" ref="X94:AR94">XLOOKUP(MID(A94, SEARCH("+++", A94) + 3, LEN(A94)),'Defensive Data'!$A$2:$A$134,'Defensive Data'!$D$2:$X$134)</f>
        <v>19.9</v>
      </c>
      <c r="Y94" s="1">
        <v>30.5</v>
      </c>
      <c r="Z94" s="1">
        <v>65.3</v>
      </c>
      <c r="AA94" s="1">
        <v>211.3</v>
      </c>
      <c r="AB94" s="1">
        <v>1.5</v>
      </c>
      <c r="AC94" s="1">
        <v>35.5</v>
      </c>
      <c r="AD94" s="1">
        <v>165.7</v>
      </c>
      <c r="AE94" s="1">
        <v>4.7</v>
      </c>
      <c r="AF94" s="1">
        <v>1.7</v>
      </c>
      <c r="AG94" s="1">
        <v>66.0</v>
      </c>
      <c r="AH94" s="1">
        <v>376.9</v>
      </c>
      <c r="AI94" s="1">
        <v>5.7</v>
      </c>
      <c r="AJ94" s="1">
        <v>9.3</v>
      </c>
      <c r="AK94" s="1">
        <v>8.5</v>
      </c>
      <c r="AL94" s="1">
        <v>2.6</v>
      </c>
      <c r="AM94" s="1">
        <v>20.3</v>
      </c>
      <c r="AN94" s="1">
        <v>6.9</v>
      </c>
      <c r="AO94" s="1">
        <v>68.3</v>
      </c>
      <c r="AP94" s="1">
        <v>0.4</v>
      </c>
      <c r="AQ94" s="1">
        <v>0.5</v>
      </c>
      <c r="AR94" s="1">
        <v>0.9</v>
      </c>
    </row>
    <row r="95" ht="15.75" customHeight="1">
      <c r="A95" s="1" t="str">
        <f>CONCATENATE(Scores!A95,"+++",Scores!C95)</f>
        <v>Utah State+++Robert Morris</v>
      </c>
      <c r="B95" s="1">
        <f>Scores!B95</f>
        <v>36</v>
      </c>
      <c r="C95" s="1">
        <f t="array" ref="C95:W95">XLOOKUP(LEFT(A95,SEARCH("+",A95)-1),'Offensive Data'!$A$2:$A$134,'Offensive Data'!$D$2:$X$134)</f>
        <v>24.5</v>
      </c>
      <c r="D95" s="1">
        <v>38.2</v>
      </c>
      <c r="E95" s="1">
        <v>64.2</v>
      </c>
      <c r="F95" s="1">
        <v>269.1</v>
      </c>
      <c r="G95" s="1">
        <v>2.4</v>
      </c>
      <c r="H95" s="1">
        <v>35.2</v>
      </c>
      <c r="I95" s="1">
        <v>198.6</v>
      </c>
      <c r="J95" s="1">
        <v>5.6</v>
      </c>
      <c r="K95" s="1">
        <v>1.8</v>
      </c>
      <c r="L95" s="1">
        <v>73.3</v>
      </c>
      <c r="M95" s="1">
        <v>467.7</v>
      </c>
      <c r="N95" s="1">
        <v>6.4</v>
      </c>
      <c r="O95" s="1">
        <v>11.7</v>
      </c>
      <c r="P95" s="1">
        <v>9.0</v>
      </c>
      <c r="Q95" s="1">
        <v>1.8</v>
      </c>
      <c r="R95" s="1">
        <v>22.5</v>
      </c>
      <c r="S95" s="1">
        <v>7.8</v>
      </c>
      <c r="T95" s="1">
        <v>73.8</v>
      </c>
      <c r="U95" s="1">
        <v>0.4</v>
      </c>
      <c r="V95" s="1">
        <v>1.4</v>
      </c>
      <c r="W95" s="1">
        <v>1.8</v>
      </c>
      <c r="X95" s="1" t="str">
        <f t="array" ref="X95">XLOOKUP(MID(A95, SEARCH("+++", A95) + 3, LEN(A95)),'Defensive Data'!$A$2:$A$134,'Defensive Data'!$D$2:$X$134)</f>
        <v>#N/A</v>
      </c>
    </row>
    <row r="96" ht="15.75" customHeight="1">
      <c r="A96" s="1" t="str">
        <f>CONCATENATE(Scores!A96,"+++",Scores!C96)</f>
        <v>Vanderbilt+++Virginia Tech</v>
      </c>
      <c r="B96" s="1">
        <f>Scores!B96</f>
        <v>34</v>
      </c>
      <c r="C96" s="1">
        <f t="array" ref="C96:W96">XLOOKUP(LEFT(A96,SEARCH("+",A96)-1),'Offensive Data'!$A$2:$A$134,'Offensive Data'!$D$2:$X$134)</f>
        <v>13.8</v>
      </c>
      <c r="D96" s="1">
        <v>23.4</v>
      </c>
      <c r="E96" s="1">
        <v>58.9</v>
      </c>
      <c r="F96" s="1">
        <v>178.6</v>
      </c>
      <c r="G96" s="1">
        <v>1.6</v>
      </c>
      <c r="H96" s="1">
        <v>36.5</v>
      </c>
      <c r="I96" s="1">
        <v>139.8</v>
      </c>
      <c r="J96" s="1">
        <v>3.8</v>
      </c>
      <c r="K96" s="1">
        <v>1.4</v>
      </c>
      <c r="L96" s="1">
        <v>59.9</v>
      </c>
      <c r="M96" s="1">
        <v>318.4</v>
      </c>
      <c r="N96" s="1">
        <v>5.3</v>
      </c>
      <c r="O96" s="1">
        <v>8.2</v>
      </c>
      <c r="P96" s="1">
        <v>8.1</v>
      </c>
      <c r="Q96" s="1">
        <v>1.9</v>
      </c>
      <c r="R96" s="1">
        <v>18.2</v>
      </c>
      <c r="S96" s="1">
        <v>5.6</v>
      </c>
      <c r="T96" s="1">
        <v>54.4</v>
      </c>
      <c r="U96" s="1">
        <v>0.2</v>
      </c>
      <c r="V96" s="1">
        <v>0.3</v>
      </c>
      <c r="W96" s="1">
        <v>0.5</v>
      </c>
      <c r="X96" s="1">
        <f t="array" ref="X96:AR96">XLOOKUP(MID(A96, SEARCH("+++", A96) + 3, LEN(A96)),'Defensive Data'!$A$2:$A$134,'Defensive Data'!$D$2:$X$134)</f>
        <v>16.8</v>
      </c>
      <c r="Y96" s="1">
        <v>30.8</v>
      </c>
      <c r="Z96" s="1">
        <v>54.8</v>
      </c>
      <c r="AA96" s="1">
        <v>215.9</v>
      </c>
      <c r="AB96" s="1">
        <v>1.5</v>
      </c>
      <c r="AC96" s="1">
        <v>37.5</v>
      </c>
      <c r="AD96" s="1">
        <v>147.1</v>
      </c>
      <c r="AE96" s="1">
        <v>3.9</v>
      </c>
      <c r="AF96" s="1">
        <v>1.3</v>
      </c>
      <c r="AG96" s="1">
        <v>68.3</v>
      </c>
      <c r="AH96" s="1">
        <v>363.0</v>
      </c>
      <c r="AI96" s="1">
        <v>5.3</v>
      </c>
      <c r="AJ96" s="1">
        <v>9.2</v>
      </c>
      <c r="AK96" s="1">
        <v>8.2</v>
      </c>
      <c r="AL96" s="1">
        <v>1.5</v>
      </c>
      <c r="AM96" s="1">
        <v>18.9</v>
      </c>
      <c r="AN96" s="1">
        <v>6.0</v>
      </c>
      <c r="AO96" s="1">
        <v>54.3</v>
      </c>
      <c r="AP96" s="1">
        <v>0.8</v>
      </c>
      <c r="AQ96" s="1">
        <v>1.2</v>
      </c>
      <c r="AR96" s="1">
        <v>1.9</v>
      </c>
    </row>
    <row r="97" ht="15.75" customHeight="1">
      <c r="A97" s="1" t="str">
        <f>CONCATENATE(Scores!A97,"+++",Scores!C97)</f>
        <v>Virginia+++Richmond</v>
      </c>
      <c r="B97" s="1">
        <f>Scores!B97</f>
        <v>34</v>
      </c>
      <c r="C97" s="1">
        <f t="array" ref="C97:W97">XLOOKUP(LEFT(A97,SEARCH("+",A97)-1),'Offensive Data'!$A$2:$A$134,'Offensive Data'!$D$2:$X$134)</f>
        <v>20.5</v>
      </c>
      <c r="D97" s="1">
        <v>33.4</v>
      </c>
      <c r="E97" s="1">
        <v>61.3</v>
      </c>
      <c r="F97" s="1">
        <v>229.0</v>
      </c>
      <c r="G97" s="1">
        <v>1.3</v>
      </c>
      <c r="H97" s="1">
        <v>36.0</v>
      </c>
      <c r="I97" s="1">
        <v>131.9</v>
      </c>
      <c r="J97" s="1">
        <v>3.7</v>
      </c>
      <c r="K97" s="1">
        <v>1.2</v>
      </c>
      <c r="L97" s="1">
        <v>69.4</v>
      </c>
      <c r="M97" s="1">
        <v>360.9</v>
      </c>
      <c r="N97" s="1">
        <v>5.2</v>
      </c>
      <c r="O97" s="1">
        <v>9.7</v>
      </c>
      <c r="P97" s="1">
        <v>8.3</v>
      </c>
      <c r="Q97" s="1">
        <v>1.6</v>
      </c>
      <c r="R97" s="1">
        <v>19.5</v>
      </c>
      <c r="S97" s="1">
        <v>5.2</v>
      </c>
      <c r="T97" s="1">
        <v>45.3</v>
      </c>
      <c r="U97" s="1">
        <v>0.4</v>
      </c>
      <c r="V97" s="1">
        <v>1.2</v>
      </c>
      <c r="W97" s="1">
        <v>1.6</v>
      </c>
      <c r="X97" s="1" t="str">
        <f t="array" ref="X97">XLOOKUP(MID(A97, SEARCH("+++", A97) + 3, LEN(A97)),'Defensive Data'!$A$2:$A$134,'Defensive Data'!$D$2:$X$134)</f>
        <v>#N/A</v>
      </c>
    </row>
    <row r="98" ht="15.75" customHeight="1">
      <c r="A98" s="1" t="str">
        <f>CONCATENATE(Scores!A98,"+++",Scores!C98)</f>
        <v>Washington+++Weber State</v>
      </c>
      <c r="B98" s="1">
        <f>Scores!B98</f>
        <v>35</v>
      </c>
      <c r="C98" s="1">
        <f t="array" ref="C98:W98">XLOOKUP(LEFT(A98,SEARCH("+",A98)-1),'Offensive Data'!$A$2:$A$134,'Offensive Data'!$D$2:$X$134)</f>
        <v>23.2</v>
      </c>
      <c r="D98" s="1">
        <v>32.1</v>
      </c>
      <c r="E98" s="1">
        <v>72.4</v>
      </c>
      <c r="F98" s="1">
        <v>261.7</v>
      </c>
      <c r="G98" s="1">
        <v>1.7</v>
      </c>
      <c r="H98" s="1">
        <v>32.5</v>
      </c>
      <c r="I98" s="1">
        <v>128.8</v>
      </c>
      <c r="J98" s="1">
        <v>4.0</v>
      </c>
      <c r="K98" s="1">
        <v>1.1</v>
      </c>
      <c r="L98" s="1">
        <v>64.6</v>
      </c>
      <c r="M98" s="1">
        <v>390.5</v>
      </c>
      <c r="N98" s="1">
        <v>6.0</v>
      </c>
      <c r="O98" s="1">
        <v>11.5</v>
      </c>
      <c r="P98" s="1">
        <v>8.0</v>
      </c>
      <c r="Q98" s="1">
        <v>1.2</v>
      </c>
      <c r="R98" s="1">
        <v>20.7</v>
      </c>
      <c r="S98" s="1">
        <v>5.8</v>
      </c>
      <c r="T98" s="1">
        <v>51.8</v>
      </c>
      <c r="U98" s="1">
        <v>0.3</v>
      </c>
      <c r="V98" s="1">
        <v>0.6</v>
      </c>
      <c r="W98" s="1">
        <v>0.9</v>
      </c>
      <c r="X98" s="1" t="str">
        <f t="array" ref="X98">XLOOKUP(MID(A98, SEARCH("+++", A98) + 3, LEN(A98)),'Defensive Data'!$A$2:$A$134,'Defensive Data'!$D$2:$X$134)</f>
        <v>#N/A</v>
      </c>
    </row>
    <row r="99" ht="15.75" customHeight="1">
      <c r="A99" s="1" t="str">
        <f>CONCATENATE(Scores!A99,"+++",Scores!C99)</f>
        <v>Washington State+++Portland State</v>
      </c>
      <c r="B99" s="1">
        <f>Scores!B99</f>
        <v>70</v>
      </c>
      <c r="C99" s="1">
        <f t="array" ref="C99:W99">XLOOKUP(LEFT(A99,SEARCH("+",A99)-1),'Offensive Data'!$A$2:$A$134,'Offensive Data'!$D$2:$X$134)</f>
        <v>20.2</v>
      </c>
      <c r="D99" s="1">
        <v>30.7</v>
      </c>
      <c r="E99" s="1">
        <v>65.9</v>
      </c>
      <c r="F99" s="1">
        <v>276.1</v>
      </c>
      <c r="G99" s="1">
        <v>2.5</v>
      </c>
      <c r="H99" s="1">
        <v>36.2</v>
      </c>
      <c r="I99" s="1">
        <v>166.8</v>
      </c>
      <c r="J99" s="1">
        <v>4.6</v>
      </c>
      <c r="K99" s="1">
        <v>2.2</v>
      </c>
      <c r="L99" s="1">
        <v>66.8</v>
      </c>
      <c r="M99" s="1">
        <v>442.8</v>
      </c>
      <c r="N99" s="1">
        <v>6.6</v>
      </c>
      <c r="O99" s="1">
        <v>11.8</v>
      </c>
      <c r="P99" s="1">
        <v>9.1</v>
      </c>
      <c r="Q99" s="1">
        <v>2.0</v>
      </c>
      <c r="R99" s="1">
        <v>22.9</v>
      </c>
      <c r="S99" s="1">
        <v>6.2</v>
      </c>
      <c r="T99" s="1">
        <v>57.8</v>
      </c>
      <c r="U99" s="1">
        <v>0.4</v>
      </c>
      <c r="V99" s="1">
        <v>0.7</v>
      </c>
      <c r="W99" s="1">
        <v>1.1</v>
      </c>
      <c r="X99" s="1" t="str">
        <f t="array" ref="X99">XLOOKUP(MID(A99, SEARCH("+++", A99) + 3, LEN(A99)),'Defensive Data'!$A$2:$A$134,'Defensive Data'!$D$2:$X$134)</f>
        <v>#N/A</v>
      </c>
    </row>
    <row r="100" ht="15.75" customHeight="1">
      <c r="A100" s="1" t="str">
        <f>CONCATENATE(Scores!A100,"+++",Scores!C100)</f>
        <v>Southern California+++Louisiana State</v>
      </c>
      <c r="B100" s="1">
        <f>Scores!B100</f>
        <v>27</v>
      </c>
      <c r="C100" s="1" t="str">
        <f t="array" ref="C100">XLOOKUP(LEFT(A100,SEARCH("+",A100)-1),'Offensive Data'!$A$2:$A$134,'Offensive Data'!$D$2:$X$134)</f>
        <v>#N/A</v>
      </c>
      <c r="X100" s="1" t="str">
        <f t="array" ref="X100">XLOOKUP(MID(A100, SEARCH("+++", A100) + 3, LEN(A100)),'Defensive Data'!$A$2:$A$134,'Defensive Data'!$D$2:$X$134)</f>
        <v>#N/A</v>
      </c>
    </row>
    <row r="101" ht="15.75" customHeight="1">
      <c r="A101" s="1" t="str">
        <f>CONCATENATE(Scores!A101,"+++",Scores!C101)</f>
        <v>Boston College+++Florida State</v>
      </c>
      <c r="B101" s="1">
        <f>Scores!B101</f>
        <v>28</v>
      </c>
      <c r="C101" s="1">
        <f t="array" ref="C101:W101">XLOOKUP(LEFT(A101,SEARCH("+",A101)-1),'Offensive Data'!$A$2:$A$134,'Offensive Data'!$D$2:$X$134)</f>
        <v>15.9</v>
      </c>
      <c r="D101" s="1">
        <v>25.4</v>
      </c>
      <c r="E101" s="1">
        <v>62.7</v>
      </c>
      <c r="F101" s="1">
        <v>199.3</v>
      </c>
      <c r="G101" s="1">
        <v>1.8</v>
      </c>
      <c r="H101" s="1">
        <v>40.7</v>
      </c>
      <c r="I101" s="1">
        <v>166.1</v>
      </c>
      <c r="J101" s="1">
        <v>4.1</v>
      </c>
      <c r="K101" s="1">
        <v>1.8</v>
      </c>
      <c r="L101" s="1">
        <v>66.1</v>
      </c>
      <c r="M101" s="1">
        <v>365.4</v>
      </c>
      <c r="N101" s="1">
        <v>5.5</v>
      </c>
      <c r="O101" s="1">
        <v>8.6</v>
      </c>
      <c r="P101" s="1">
        <v>8.8</v>
      </c>
      <c r="Q101" s="1">
        <v>1.8</v>
      </c>
      <c r="R101" s="1">
        <v>19.3</v>
      </c>
      <c r="S101" s="1">
        <v>4.5</v>
      </c>
      <c r="T101" s="1">
        <v>43.1</v>
      </c>
      <c r="U101" s="1">
        <v>0.7</v>
      </c>
      <c r="V101" s="1">
        <v>0.5</v>
      </c>
      <c r="W101" s="1">
        <v>1.2</v>
      </c>
      <c r="X101" s="1">
        <f t="array" ref="X101:AR101">XLOOKUP(MID(A101, SEARCH("+++", A101) + 3, LEN(A101)),'Defensive Data'!$A$2:$A$134,'Defensive Data'!$D$2:$X$134)</f>
        <v>17</v>
      </c>
      <c r="Y101" s="1">
        <v>27.2</v>
      </c>
      <c r="Z101" s="1">
        <v>62.6</v>
      </c>
      <c r="AA101" s="1">
        <v>201.3</v>
      </c>
      <c r="AB101" s="1">
        <v>1.3</v>
      </c>
      <c r="AC101" s="1">
        <v>39.8</v>
      </c>
      <c r="AD101" s="1">
        <v>184.7</v>
      </c>
      <c r="AE101" s="1">
        <v>4.6</v>
      </c>
      <c r="AF101" s="1">
        <v>1.8</v>
      </c>
      <c r="AG101" s="1">
        <v>66.9</v>
      </c>
      <c r="AH101" s="1">
        <v>385.9</v>
      </c>
      <c r="AI101" s="1">
        <v>5.8</v>
      </c>
      <c r="AJ101" s="1">
        <v>9.2</v>
      </c>
      <c r="AK101" s="1">
        <v>9.7</v>
      </c>
      <c r="AL101" s="1">
        <v>2.1</v>
      </c>
      <c r="AM101" s="1">
        <v>20.9</v>
      </c>
      <c r="AN101" s="1">
        <v>4.8</v>
      </c>
      <c r="AO101" s="1">
        <v>43.8</v>
      </c>
      <c r="AP101" s="1">
        <v>0.2</v>
      </c>
      <c r="AQ101" s="1">
        <v>0.3</v>
      </c>
      <c r="AR101" s="1">
        <v>0.5</v>
      </c>
    </row>
    <row r="102" ht="15.75" customHeight="1">
      <c r="A102" s="1" t="str">
        <f>CONCATENATE(Scores!A102,"+++",Scores!C102)</f>
        <v>Brigham Young+++Southern Methodist</v>
      </c>
      <c r="B102" s="1">
        <f>Scores!B102</f>
        <v>18</v>
      </c>
      <c r="C102" s="1">
        <f t="array" ref="C102:W102">XLOOKUP(LEFT(A102,SEARCH("+",A102)-1),'Offensive Data'!$A$2:$A$134,'Offensive Data'!$D$2:$X$134)</f>
        <v>16.7</v>
      </c>
      <c r="D102" s="1">
        <v>29.2</v>
      </c>
      <c r="E102" s="1">
        <v>57.3</v>
      </c>
      <c r="F102" s="1">
        <v>231.3</v>
      </c>
      <c r="G102" s="1">
        <v>1.6</v>
      </c>
      <c r="H102" s="1">
        <v>35.2</v>
      </c>
      <c r="I102" s="1">
        <v>161.0</v>
      </c>
      <c r="J102" s="1">
        <v>4.6</v>
      </c>
      <c r="K102" s="1">
        <v>1.5</v>
      </c>
      <c r="L102" s="1">
        <v>64.3</v>
      </c>
      <c r="M102" s="1">
        <v>392.3</v>
      </c>
      <c r="N102" s="1">
        <v>6.1</v>
      </c>
      <c r="O102" s="1">
        <v>10.8</v>
      </c>
      <c r="P102" s="1">
        <v>9.8</v>
      </c>
      <c r="Q102" s="1">
        <v>1.6</v>
      </c>
      <c r="R102" s="1">
        <v>22.2</v>
      </c>
      <c r="S102" s="1">
        <v>5.1</v>
      </c>
      <c r="T102" s="1">
        <v>43.2</v>
      </c>
      <c r="U102" s="1">
        <v>0.5</v>
      </c>
      <c r="V102" s="1">
        <v>1.1</v>
      </c>
      <c r="W102" s="1">
        <v>1.6</v>
      </c>
      <c r="X102" s="1" t="str">
        <f t="array" ref="X102">XLOOKUP(MID(A102, SEARCH("+++", A102) + 3, LEN(A102)),'Defensive Data'!$A$2:$A$134,'Defensive Data'!$D$2:$X$134)</f>
        <v>#N/A</v>
      </c>
    </row>
    <row r="103" ht="15.75" customHeight="1">
      <c r="A103" s="1" t="str">
        <f>CONCATENATE(Scores!A103,"+++",Scores!C103)</f>
        <v>Duke+++Northwestern</v>
      </c>
      <c r="B103" s="1">
        <f>Scores!B103</f>
        <v>26</v>
      </c>
      <c r="C103" s="1">
        <f t="array" ref="C103:W103">XLOOKUP(LEFT(A103,SEARCH("+",A103)-1),'Offensive Data'!$A$2:$A$134,'Offensive Data'!$D$2:$X$134)</f>
        <v>21.5</v>
      </c>
      <c r="D103" s="1">
        <v>35.9</v>
      </c>
      <c r="E103" s="1">
        <v>60.0</v>
      </c>
      <c r="F103" s="1">
        <v>244.3</v>
      </c>
      <c r="G103" s="1">
        <v>2.2</v>
      </c>
      <c r="H103" s="1">
        <v>29.3</v>
      </c>
      <c r="I103" s="1">
        <v>92.5</v>
      </c>
      <c r="J103" s="1">
        <v>3.2</v>
      </c>
      <c r="K103" s="1">
        <v>1.0</v>
      </c>
      <c r="L103" s="1">
        <v>65.2</v>
      </c>
      <c r="M103" s="1">
        <v>336.8</v>
      </c>
      <c r="N103" s="1">
        <v>5.2</v>
      </c>
      <c r="O103" s="1">
        <v>10.8</v>
      </c>
      <c r="P103" s="1">
        <v>4.6</v>
      </c>
      <c r="Q103" s="1">
        <v>2.2</v>
      </c>
      <c r="R103" s="1">
        <v>17.6</v>
      </c>
      <c r="S103" s="1">
        <v>5.2</v>
      </c>
      <c r="T103" s="1">
        <v>50.1</v>
      </c>
      <c r="U103" s="1">
        <v>0.5</v>
      </c>
      <c r="V103" s="1">
        <v>1.0</v>
      </c>
      <c r="W103" s="1">
        <v>1.5</v>
      </c>
      <c r="X103" s="1">
        <f t="array" ref="X103:AR103">XLOOKUP(MID(A103, SEARCH("+++", A103) + 3, LEN(A103)),'Defensive Data'!$A$2:$A$134,'Defensive Data'!$D$2:$X$134)</f>
        <v>20.4</v>
      </c>
      <c r="Y103" s="1">
        <v>32.6</v>
      </c>
      <c r="Z103" s="1">
        <v>62.7</v>
      </c>
      <c r="AA103" s="1">
        <v>231.8</v>
      </c>
      <c r="AB103" s="1">
        <v>1.3</v>
      </c>
      <c r="AC103" s="1">
        <v>32.5</v>
      </c>
      <c r="AD103" s="1">
        <v>129.9</v>
      </c>
      <c r="AE103" s="1">
        <v>4.0</v>
      </c>
      <c r="AF103" s="1">
        <v>1.8</v>
      </c>
      <c r="AG103" s="1">
        <v>65.1</v>
      </c>
      <c r="AH103" s="1">
        <v>361.8</v>
      </c>
      <c r="AI103" s="1">
        <v>5.6</v>
      </c>
      <c r="AJ103" s="1">
        <v>10.8</v>
      </c>
      <c r="AK103" s="1">
        <v>7.4</v>
      </c>
      <c r="AL103" s="1">
        <v>0.8</v>
      </c>
      <c r="AM103" s="1">
        <v>19.1</v>
      </c>
      <c r="AN103" s="1">
        <v>3.8</v>
      </c>
      <c r="AO103" s="1">
        <v>32.2</v>
      </c>
      <c r="AP103" s="1">
        <v>0.5</v>
      </c>
      <c r="AQ103" s="1">
        <v>0.8</v>
      </c>
      <c r="AR103" s="1">
        <v>1.3</v>
      </c>
    </row>
    <row r="104" ht="15.75" customHeight="1">
      <c r="A104" s="1" t="str">
        <f>CONCATENATE(Scores!A104,"+++",Scores!C104)</f>
        <v>Indiana+++Western Illinois</v>
      </c>
      <c r="B104" s="1">
        <f>Scores!B104</f>
        <v>77</v>
      </c>
      <c r="C104" s="1">
        <f t="array" ref="C104:W104">XLOOKUP(LEFT(A104,SEARCH("+",A104)-1),'Offensive Data'!$A$2:$A$134,'Offensive Data'!$D$2:$X$134)</f>
        <v>18.9</v>
      </c>
      <c r="D104" s="1">
        <v>27.8</v>
      </c>
      <c r="E104" s="1">
        <v>68.1</v>
      </c>
      <c r="F104" s="1">
        <v>261.3</v>
      </c>
      <c r="G104" s="1">
        <v>2.5</v>
      </c>
      <c r="H104" s="1">
        <v>37.8</v>
      </c>
      <c r="I104" s="1">
        <v>165.1</v>
      </c>
      <c r="J104" s="1">
        <v>4.4</v>
      </c>
      <c r="K104" s="1">
        <v>2.8</v>
      </c>
      <c r="L104" s="1">
        <v>65.5</v>
      </c>
      <c r="M104" s="1">
        <v>426.4</v>
      </c>
      <c r="N104" s="1">
        <v>6.5</v>
      </c>
      <c r="O104" s="1">
        <v>11.9</v>
      </c>
      <c r="P104" s="1">
        <v>10.0</v>
      </c>
      <c r="Q104" s="1">
        <v>1.6</v>
      </c>
      <c r="R104" s="1">
        <v>23.5</v>
      </c>
      <c r="S104" s="1">
        <v>4.8</v>
      </c>
      <c r="T104" s="1">
        <v>43.9</v>
      </c>
      <c r="U104" s="1">
        <v>0.2</v>
      </c>
      <c r="V104" s="1">
        <v>0.5</v>
      </c>
      <c r="W104" s="1">
        <v>0.7</v>
      </c>
      <c r="X104" s="1" t="str">
        <f t="array" ref="X104">XLOOKUP(MID(A104, SEARCH("+++", A104) + 3, LEN(A104)),'Defensive Data'!$A$2:$A$134,'Defensive Data'!$D$2:$X$134)</f>
        <v>#N/A</v>
      </c>
    </row>
    <row r="105" ht="15.75" customHeight="1">
      <c r="A105" s="1" t="str">
        <f>CONCATENATE(Scores!A105,"+++",Scores!C105)</f>
        <v>Alabama+++South Florida</v>
      </c>
      <c r="B105" s="1">
        <f>Scores!B105</f>
        <v>42</v>
      </c>
      <c r="C105" s="1">
        <f t="array" ref="C105:W105">XLOOKUP(LEFT(A105,SEARCH("+",A105)-1),'Offensive Data'!$A$2:$A$134,'Offensive Data'!$D$2:$X$134)</f>
        <v>17.4</v>
      </c>
      <c r="D105" s="1">
        <v>27.2</v>
      </c>
      <c r="E105" s="1">
        <v>63.8</v>
      </c>
      <c r="F105" s="1">
        <v>236.4</v>
      </c>
      <c r="G105" s="1">
        <v>1.3</v>
      </c>
      <c r="H105" s="1">
        <v>37.5</v>
      </c>
      <c r="I105" s="1">
        <v>173.8</v>
      </c>
      <c r="J105" s="1">
        <v>4.6</v>
      </c>
      <c r="K105" s="1">
        <v>3.2</v>
      </c>
      <c r="L105" s="1">
        <v>64.8</v>
      </c>
      <c r="M105" s="1">
        <v>410.2</v>
      </c>
      <c r="N105" s="1">
        <v>6.3</v>
      </c>
      <c r="O105" s="1">
        <v>9.8</v>
      </c>
      <c r="P105" s="1">
        <v>9.7</v>
      </c>
      <c r="Q105" s="1">
        <v>1.4</v>
      </c>
      <c r="R105" s="1">
        <v>20.8</v>
      </c>
      <c r="S105" s="1">
        <v>7.3</v>
      </c>
      <c r="T105" s="1">
        <v>69.1</v>
      </c>
      <c r="U105" s="1">
        <v>0.8</v>
      </c>
      <c r="V105" s="1">
        <v>0.8</v>
      </c>
      <c r="W105" s="1">
        <v>1.6</v>
      </c>
      <c r="X105" s="1">
        <f t="array" ref="X105:AR105">XLOOKUP(MID(A105, SEARCH("+++", A105) + 3, LEN(A105)),'Defensive Data'!$A$2:$A$134,'Defensive Data'!$D$2:$X$134)</f>
        <v>21.3</v>
      </c>
      <c r="Y105" s="1">
        <v>36.2</v>
      </c>
      <c r="Z105" s="1">
        <v>58.8</v>
      </c>
      <c r="AA105" s="1">
        <v>278.8</v>
      </c>
      <c r="AB105" s="1">
        <v>1.8</v>
      </c>
      <c r="AC105" s="1">
        <v>39.2</v>
      </c>
      <c r="AD105" s="1">
        <v>158.2</v>
      </c>
      <c r="AE105" s="1">
        <v>4.0</v>
      </c>
      <c r="AF105" s="1">
        <v>1.9</v>
      </c>
      <c r="AG105" s="1">
        <v>75.5</v>
      </c>
      <c r="AH105" s="1">
        <v>436.9</v>
      </c>
      <c r="AI105" s="1">
        <v>5.8</v>
      </c>
      <c r="AJ105" s="1">
        <v>11.5</v>
      </c>
      <c r="AK105" s="1">
        <v>8.5</v>
      </c>
      <c r="AL105" s="1">
        <v>2.7</v>
      </c>
      <c r="AM105" s="1">
        <v>22.7</v>
      </c>
      <c r="AN105" s="1">
        <v>8.5</v>
      </c>
      <c r="AO105" s="1">
        <v>73.2</v>
      </c>
      <c r="AP105" s="1">
        <v>1.0</v>
      </c>
      <c r="AQ105" s="1">
        <v>0.9</v>
      </c>
      <c r="AR105" s="1">
        <v>1.9</v>
      </c>
    </row>
    <row r="106" ht="15.75" customHeight="1">
      <c r="A106" s="1" t="str">
        <f>CONCATENATE(Scores!A106,"+++",Scores!C106)</f>
        <v>Arizona+++Northern Arizona</v>
      </c>
      <c r="B106" s="1">
        <f>Scores!B106</f>
        <v>22</v>
      </c>
      <c r="C106" s="1">
        <f t="array" ref="C106:W106">XLOOKUP(LEFT(A106,SEARCH("+",A106)-1),'Offensive Data'!$A$2:$A$134,'Offensive Data'!$D$2:$X$134)</f>
        <v>21.8</v>
      </c>
      <c r="D106" s="1">
        <v>36.4</v>
      </c>
      <c r="E106" s="1">
        <v>60.0</v>
      </c>
      <c r="F106" s="1">
        <v>247.9</v>
      </c>
      <c r="G106" s="1">
        <v>1.5</v>
      </c>
      <c r="H106" s="1">
        <v>27.9</v>
      </c>
      <c r="I106" s="1">
        <v>106.6</v>
      </c>
      <c r="J106" s="1">
        <v>3.8</v>
      </c>
      <c r="K106" s="1">
        <v>0.9</v>
      </c>
      <c r="L106" s="1">
        <v>64.3</v>
      </c>
      <c r="M106" s="1">
        <v>354.5</v>
      </c>
      <c r="N106" s="1">
        <v>5.5</v>
      </c>
      <c r="O106" s="1">
        <v>10.8</v>
      </c>
      <c r="P106" s="1">
        <v>6.2</v>
      </c>
      <c r="Q106" s="1">
        <v>1.5</v>
      </c>
      <c r="R106" s="1">
        <v>18.5</v>
      </c>
      <c r="S106" s="1">
        <v>6.5</v>
      </c>
      <c r="T106" s="1">
        <v>57.6</v>
      </c>
      <c r="U106" s="1">
        <v>0.6</v>
      </c>
      <c r="V106" s="1">
        <v>1.1</v>
      </c>
      <c r="W106" s="1">
        <v>1.7</v>
      </c>
      <c r="X106" s="1" t="str">
        <f t="array" ref="X106">XLOOKUP(MID(A106, SEARCH("+++", A106) + 3, LEN(A106)),'Defensive Data'!$A$2:$A$134,'Defensive Data'!$D$2:$X$134)</f>
        <v>#N/A</v>
      </c>
    </row>
    <row r="107" ht="15.75" customHeight="1">
      <c r="A107" s="1" t="str">
        <f>CONCATENATE(Scores!A107,"+++",Scores!C107)</f>
        <v>Arizona State+++Mississippi State</v>
      </c>
      <c r="B107" s="1">
        <f>Scores!B107</f>
        <v>30</v>
      </c>
      <c r="C107" s="1">
        <f t="array" ref="C107:W107">XLOOKUP(LEFT(A107,SEARCH("+",A107)-1),'Offensive Data'!$A$2:$A$134,'Offensive Data'!$D$2:$X$134)</f>
        <v>16.7</v>
      </c>
      <c r="D107" s="1">
        <v>27.3</v>
      </c>
      <c r="E107" s="1">
        <v>61.3</v>
      </c>
      <c r="F107" s="1">
        <v>229.5</v>
      </c>
      <c r="G107" s="1">
        <v>1.9</v>
      </c>
      <c r="H107" s="1">
        <v>42.2</v>
      </c>
      <c r="I107" s="1">
        <v>199.9</v>
      </c>
      <c r="J107" s="1">
        <v>4.7</v>
      </c>
      <c r="K107" s="1">
        <v>2.1</v>
      </c>
      <c r="L107" s="1">
        <v>69.5</v>
      </c>
      <c r="M107" s="1">
        <v>429.4</v>
      </c>
      <c r="N107" s="1">
        <v>6.2</v>
      </c>
      <c r="O107" s="1">
        <v>9.6</v>
      </c>
      <c r="P107" s="1">
        <v>11.1</v>
      </c>
      <c r="Q107" s="1">
        <v>1.8</v>
      </c>
      <c r="R107" s="1">
        <v>22.5</v>
      </c>
      <c r="S107" s="1">
        <v>6.4</v>
      </c>
      <c r="T107" s="1">
        <v>53.6</v>
      </c>
      <c r="U107" s="1">
        <v>0.2</v>
      </c>
      <c r="V107" s="1">
        <v>0.4</v>
      </c>
      <c r="W107" s="1">
        <v>0.6</v>
      </c>
      <c r="X107" s="1">
        <f t="array" ref="X107:AR107">XLOOKUP(MID(A107, SEARCH("+++", A107) + 3, LEN(A107)),'Defensive Data'!$A$2:$A$134,'Defensive Data'!$D$2:$X$134)</f>
        <v>20</v>
      </c>
      <c r="Y107" s="1">
        <v>28.4</v>
      </c>
      <c r="Z107" s="1">
        <v>70.4</v>
      </c>
      <c r="AA107" s="1">
        <v>239.5</v>
      </c>
      <c r="AB107" s="1">
        <v>1.9</v>
      </c>
      <c r="AC107" s="1">
        <v>43.6</v>
      </c>
      <c r="AD107" s="1">
        <v>216.9</v>
      </c>
      <c r="AE107" s="1">
        <v>5.0</v>
      </c>
      <c r="AF107" s="1">
        <v>2.0</v>
      </c>
      <c r="AG107" s="1">
        <v>72.0</v>
      </c>
      <c r="AH107" s="1">
        <v>456.4</v>
      </c>
      <c r="AI107" s="1">
        <v>6.3</v>
      </c>
      <c r="AJ107" s="1">
        <v>11.3</v>
      </c>
      <c r="AK107" s="1">
        <v>10.8</v>
      </c>
      <c r="AL107" s="1">
        <v>1.8</v>
      </c>
      <c r="AM107" s="1">
        <v>23.8</v>
      </c>
      <c r="AN107" s="1">
        <v>6.3</v>
      </c>
      <c r="AO107" s="1">
        <v>58.8</v>
      </c>
      <c r="AP107" s="1">
        <v>0.4</v>
      </c>
      <c r="AQ107" s="1">
        <v>0.6</v>
      </c>
      <c r="AR107" s="1">
        <v>1.0</v>
      </c>
    </row>
    <row r="108" ht="15.75" customHeight="1">
      <c r="A108" s="1" t="str">
        <f>CONCATENATE(Scores!A108,"+++",Scores!C108)</f>
        <v>Arkansas State+++Tulsa</v>
      </c>
      <c r="B108" s="1">
        <f>Scores!B108</f>
        <v>28</v>
      </c>
      <c r="C108" s="1">
        <f t="array" ref="C108:W108">XLOOKUP(LEFT(A108,SEARCH("+",A108)-1),'Offensive Data'!$A$2:$A$134,'Offensive Data'!$D$2:$X$134)</f>
        <v>21.1</v>
      </c>
      <c r="D108" s="1">
        <v>34.0</v>
      </c>
      <c r="E108" s="1">
        <v>62.0</v>
      </c>
      <c r="F108" s="1">
        <v>227.5</v>
      </c>
      <c r="G108" s="1">
        <v>1.5</v>
      </c>
      <c r="H108" s="1">
        <v>37.5</v>
      </c>
      <c r="I108" s="1">
        <v>156.9</v>
      </c>
      <c r="J108" s="1">
        <v>4.2</v>
      </c>
      <c r="K108" s="1">
        <v>1.4</v>
      </c>
      <c r="L108" s="1">
        <v>71.5</v>
      </c>
      <c r="M108" s="1">
        <v>384.4</v>
      </c>
      <c r="N108" s="1">
        <v>5.4</v>
      </c>
      <c r="O108" s="1">
        <v>11.1</v>
      </c>
      <c r="P108" s="1">
        <v>8.7</v>
      </c>
      <c r="Q108" s="1">
        <v>2.1</v>
      </c>
      <c r="R108" s="1">
        <v>21.8</v>
      </c>
      <c r="S108" s="1">
        <v>5.6</v>
      </c>
      <c r="T108" s="1">
        <v>51.7</v>
      </c>
      <c r="U108" s="1">
        <v>0.6</v>
      </c>
      <c r="V108" s="1">
        <v>0.8</v>
      </c>
      <c r="W108" s="1">
        <v>1.4</v>
      </c>
      <c r="X108" s="1">
        <f t="array" ref="X108:AR108">XLOOKUP(MID(A108, SEARCH("+++", A108) + 3, LEN(A108)),'Defensive Data'!$A$2:$A$134,'Defensive Data'!$D$2:$X$134)</f>
        <v>21.8</v>
      </c>
      <c r="Y108" s="1">
        <v>33.0</v>
      </c>
      <c r="Z108" s="1">
        <v>65.9</v>
      </c>
      <c r="AA108" s="1">
        <v>316.0</v>
      </c>
      <c r="AB108" s="1">
        <v>3.2</v>
      </c>
      <c r="AC108" s="1">
        <v>37.3</v>
      </c>
      <c r="AD108" s="1">
        <v>180.8</v>
      </c>
      <c r="AE108" s="1">
        <v>4.9</v>
      </c>
      <c r="AF108" s="1">
        <v>2.3</v>
      </c>
      <c r="AG108" s="1">
        <v>70.3</v>
      </c>
      <c r="AH108" s="1">
        <v>496.8</v>
      </c>
      <c r="AI108" s="1">
        <v>7.1</v>
      </c>
      <c r="AJ108" s="1">
        <v>12.8</v>
      </c>
      <c r="AK108" s="1">
        <v>8.3</v>
      </c>
      <c r="AL108" s="1">
        <v>1.1</v>
      </c>
      <c r="AM108" s="1">
        <v>22.2</v>
      </c>
      <c r="AN108" s="1">
        <v>8.1</v>
      </c>
      <c r="AO108" s="1">
        <v>80.3</v>
      </c>
      <c r="AP108" s="1">
        <v>0.6</v>
      </c>
      <c r="AQ108" s="1">
        <v>0.8</v>
      </c>
      <c r="AR108" s="1">
        <v>1.3</v>
      </c>
    </row>
    <row r="109" ht="15.75" customHeight="1">
      <c r="A109" s="1" t="str">
        <f>CONCATENATE(Scores!A109,"+++",Scores!C109)</f>
        <v>Army+++Florida Atlantic</v>
      </c>
      <c r="B109" s="1">
        <f>Scores!B109</f>
        <v>24</v>
      </c>
      <c r="C109" s="1">
        <f t="array" ref="C109:W109">XLOOKUP(LEFT(A109,SEARCH("+",A109)-1),'Offensive Data'!$A$2:$A$134,'Offensive Data'!$D$2:$X$134)</f>
        <v>4.7</v>
      </c>
      <c r="D109" s="1">
        <v>8.7</v>
      </c>
      <c r="E109" s="1">
        <v>54.1</v>
      </c>
      <c r="F109" s="1">
        <v>80.6</v>
      </c>
      <c r="G109" s="1">
        <v>0.7</v>
      </c>
      <c r="H109" s="1">
        <v>54.6</v>
      </c>
      <c r="I109" s="1">
        <v>300.5</v>
      </c>
      <c r="J109" s="1">
        <v>5.5</v>
      </c>
      <c r="K109" s="1">
        <v>3.4</v>
      </c>
      <c r="L109" s="1">
        <v>63.3</v>
      </c>
      <c r="M109" s="1">
        <v>381.1</v>
      </c>
      <c r="N109" s="1">
        <v>6.0</v>
      </c>
      <c r="O109" s="1">
        <v>3.1</v>
      </c>
      <c r="P109" s="1">
        <v>16.4</v>
      </c>
      <c r="Q109" s="1">
        <v>1.3</v>
      </c>
      <c r="R109" s="1">
        <v>20.9</v>
      </c>
      <c r="S109" s="1">
        <v>3.2</v>
      </c>
      <c r="T109" s="1">
        <v>31.5</v>
      </c>
      <c r="U109" s="1">
        <v>0.4</v>
      </c>
      <c r="V109" s="1">
        <v>0.3</v>
      </c>
      <c r="W109" s="1">
        <v>0.6</v>
      </c>
      <c r="X109" s="1">
        <f t="array" ref="X109:AR109">XLOOKUP(MID(A109, SEARCH("+++", A109) + 3, LEN(A109)),'Defensive Data'!$A$2:$A$134,'Defensive Data'!$D$2:$X$134)</f>
        <v>17.6</v>
      </c>
      <c r="Y109" s="1">
        <v>31.5</v>
      </c>
      <c r="Z109" s="1">
        <v>55.8</v>
      </c>
      <c r="AA109" s="1">
        <v>233.2</v>
      </c>
      <c r="AB109" s="1">
        <v>2.1</v>
      </c>
      <c r="AC109" s="1">
        <v>37.5</v>
      </c>
      <c r="AD109" s="1">
        <v>183.5</v>
      </c>
      <c r="AE109" s="1">
        <v>4.9</v>
      </c>
      <c r="AF109" s="1">
        <v>1.5</v>
      </c>
      <c r="AG109" s="1">
        <v>69.0</v>
      </c>
      <c r="AH109" s="1">
        <v>416.7</v>
      </c>
      <c r="AI109" s="1">
        <v>6.0</v>
      </c>
      <c r="AJ109" s="1">
        <v>9.8</v>
      </c>
      <c r="AK109" s="1">
        <v>9.3</v>
      </c>
      <c r="AL109" s="1">
        <v>1.9</v>
      </c>
      <c r="AM109" s="1">
        <v>21.0</v>
      </c>
      <c r="AN109" s="1">
        <v>6.0</v>
      </c>
      <c r="AO109" s="1">
        <v>52.5</v>
      </c>
      <c r="AP109" s="1">
        <v>0.6</v>
      </c>
      <c r="AQ109" s="1">
        <v>0.9</v>
      </c>
      <c r="AR109" s="1">
        <v>1.5</v>
      </c>
    </row>
    <row r="110" ht="15.75" customHeight="1">
      <c r="A110" s="1" t="str">
        <f>CONCATENATE(Scores!A110,"+++",Scores!C110)</f>
        <v>Ball State+++Missouri State</v>
      </c>
      <c r="B110" s="1">
        <f>Scores!B110</f>
        <v>42</v>
      </c>
      <c r="C110" s="1">
        <f t="array" ref="C110:W110">XLOOKUP(LEFT(A110,SEARCH("+",A110)-1),'Offensive Data'!$A$2:$A$134,'Offensive Data'!$D$2:$X$134)</f>
        <v>23.3</v>
      </c>
      <c r="D110" s="1">
        <v>36.6</v>
      </c>
      <c r="E110" s="1">
        <v>63.8</v>
      </c>
      <c r="F110" s="1">
        <v>245.0</v>
      </c>
      <c r="G110" s="1">
        <v>2.2</v>
      </c>
      <c r="H110" s="1">
        <v>31.1</v>
      </c>
      <c r="I110" s="1">
        <v>102.8</v>
      </c>
      <c r="J110" s="1">
        <v>3.3</v>
      </c>
      <c r="K110" s="1">
        <v>0.8</v>
      </c>
      <c r="L110" s="1">
        <v>67.7</v>
      </c>
      <c r="M110" s="1">
        <v>347.8</v>
      </c>
      <c r="N110" s="1">
        <v>5.1</v>
      </c>
      <c r="O110" s="1">
        <v>11.2</v>
      </c>
      <c r="P110" s="1">
        <v>7.2</v>
      </c>
      <c r="Q110" s="1">
        <v>1.9</v>
      </c>
      <c r="R110" s="1">
        <v>20.3</v>
      </c>
      <c r="S110" s="1">
        <v>4.9</v>
      </c>
      <c r="T110" s="1">
        <v>45.3</v>
      </c>
      <c r="U110" s="1">
        <v>0.3</v>
      </c>
      <c r="V110" s="1">
        <v>0.9</v>
      </c>
      <c r="W110" s="1">
        <v>1.2</v>
      </c>
      <c r="X110" s="1" t="str">
        <f t="array" ref="X110">XLOOKUP(MID(A110, SEARCH("+++", A110) + 3, LEN(A110)),'Defensive Data'!$A$2:$A$134,'Defensive Data'!$D$2:$X$134)</f>
        <v>#N/A</v>
      </c>
    </row>
    <row r="111" ht="15.75" customHeight="1">
      <c r="A111" s="1" t="str">
        <f>CONCATENATE(Scores!A111,"+++",Scores!C111)</f>
        <v>Boston College+++Duquesne</v>
      </c>
      <c r="B111" s="1">
        <f>Scores!B111</f>
        <v>56</v>
      </c>
      <c r="C111" s="1">
        <f t="array" ref="C111:W111">XLOOKUP(LEFT(A111,SEARCH("+",A111)-1),'Offensive Data'!$A$2:$A$134,'Offensive Data'!$D$2:$X$134)</f>
        <v>15.9</v>
      </c>
      <c r="D111" s="1">
        <v>25.4</v>
      </c>
      <c r="E111" s="1">
        <v>62.7</v>
      </c>
      <c r="F111" s="1">
        <v>199.3</v>
      </c>
      <c r="G111" s="1">
        <v>1.8</v>
      </c>
      <c r="H111" s="1">
        <v>40.7</v>
      </c>
      <c r="I111" s="1">
        <v>166.1</v>
      </c>
      <c r="J111" s="1">
        <v>4.1</v>
      </c>
      <c r="K111" s="1">
        <v>1.8</v>
      </c>
      <c r="L111" s="1">
        <v>66.1</v>
      </c>
      <c r="M111" s="1">
        <v>365.4</v>
      </c>
      <c r="N111" s="1">
        <v>5.5</v>
      </c>
      <c r="O111" s="1">
        <v>8.6</v>
      </c>
      <c r="P111" s="1">
        <v>8.8</v>
      </c>
      <c r="Q111" s="1">
        <v>1.8</v>
      </c>
      <c r="R111" s="1">
        <v>19.3</v>
      </c>
      <c r="S111" s="1">
        <v>4.5</v>
      </c>
      <c r="T111" s="1">
        <v>43.1</v>
      </c>
      <c r="U111" s="1">
        <v>0.7</v>
      </c>
      <c r="V111" s="1">
        <v>0.5</v>
      </c>
      <c r="W111" s="1">
        <v>1.2</v>
      </c>
      <c r="X111" s="1" t="str">
        <f t="array" ref="X111">XLOOKUP(MID(A111, SEARCH("+++", A111) + 3, LEN(A111)),'Defensive Data'!$A$2:$A$134,'Defensive Data'!$D$2:$X$134)</f>
        <v>#N/A</v>
      </c>
    </row>
    <row r="112" ht="15.75" customHeight="1">
      <c r="A112" s="1" t="str">
        <f>CONCATENATE(Scores!A112,"+++",Scores!C112)</f>
        <v>California+++Auburn</v>
      </c>
      <c r="B112" s="1">
        <f>Scores!B112</f>
        <v>21</v>
      </c>
      <c r="C112" s="1">
        <f t="array" ref="C112:W112">XLOOKUP(LEFT(A112,SEARCH("+",A112)-1),'Offensive Data'!$A$2:$A$134,'Offensive Data'!$D$2:$X$134)</f>
        <v>23.2</v>
      </c>
      <c r="D112" s="1">
        <v>35.7</v>
      </c>
      <c r="E112" s="1">
        <v>65.1</v>
      </c>
      <c r="F112" s="1">
        <v>258.6</v>
      </c>
      <c r="G112" s="1">
        <v>1.2</v>
      </c>
      <c r="H112" s="1">
        <v>34.2</v>
      </c>
      <c r="I112" s="1">
        <v>121.5</v>
      </c>
      <c r="J112" s="1">
        <v>3.6</v>
      </c>
      <c r="K112" s="1">
        <v>1.3</v>
      </c>
      <c r="L112" s="1">
        <v>69.8</v>
      </c>
      <c r="M112" s="1">
        <v>380.2</v>
      </c>
      <c r="N112" s="1">
        <v>5.4</v>
      </c>
      <c r="O112" s="1">
        <v>11.9</v>
      </c>
      <c r="P112" s="1">
        <v>7.1</v>
      </c>
      <c r="Q112" s="1">
        <v>1.9</v>
      </c>
      <c r="R112" s="1">
        <v>20.9</v>
      </c>
      <c r="S112" s="1">
        <v>7.4</v>
      </c>
      <c r="T112" s="1">
        <v>59.7</v>
      </c>
      <c r="U112" s="1">
        <v>0.3</v>
      </c>
      <c r="V112" s="1">
        <v>0.5</v>
      </c>
      <c r="W112" s="1">
        <v>0.8</v>
      </c>
      <c r="X112" s="1">
        <f t="array" ref="X112:AR112">XLOOKUP(MID(A112, SEARCH("+++", A112) + 3, LEN(A112)),'Defensive Data'!$A$2:$A$134,'Defensive Data'!$D$2:$X$134)</f>
        <v>16.6</v>
      </c>
      <c r="Y112" s="1">
        <v>29.5</v>
      </c>
      <c r="Z112" s="1">
        <v>56.2</v>
      </c>
      <c r="AA112" s="1">
        <v>213.0</v>
      </c>
      <c r="AB112" s="1">
        <v>1.0</v>
      </c>
      <c r="AC112" s="1">
        <v>38.3</v>
      </c>
      <c r="AD112" s="1">
        <v>117.8</v>
      </c>
      <c r="AE112" s="1">
        <v>3.1</v>
      </c>
      <c r="AF112" s="1">
        <v>1.5</v>
      </c>
      <c r="AG112" s="1">
        <v>67.8</v>
      </c>
      <c r="AH112" s="1">
        <v>330.8</v>
      </c>
      <c r="AI112" s="1">
        <v>4.9</v>
      </c>
      <c r="AJ112" s="1">
        <v>8.4</v>
      </c>
      <c r="AK112" s="1">
        <v>7.5</v>
      </c>
      <c r="AL112" s="1">
        <v>1.8</v>
      </c>
      <c r="AM112" s="1">
        <v>17.8</v>
      </c>
      <c r="AN112" s="1">
        <v>6.5</v>
      </c>
      <c r="AO112" s="1">
        <v>53.5</v>
      </c>
      <c r="AP112" s="1">
        <v>0.4</v>
      </c>
      <c r="AQ112" s="1">
        <v>0.7</v>
      </c>
      <c r="AR112" s="1">
        <v>1.1</v>
      </c>
    </row>
    <row r="113" ht="15.75" customHeight="1">
      <c r="A113" s="1" t="str">
        <f>CONCATENATE(Scores!A113,"+++",Scores!C113)</f>
        <v>Central Florida+++Sam Houston</v>
      </c>
      <c r="B113" s="1">
        <f>Scores!B113</f>
        <v>45</v>
      </c>
      <c r="C113" s="1" t="str">
        <f t="array" ref="C113">XLOOKUP(LEFT(A113,SEARCH("+",A113)-1),'Offensive Data'!$A$2:$A$134,'Offensive Data'!$D$2:$X$134)</f>
        <v>#N/A</v>
      </c>
      <c r="X113" s="1">
        <f t="array" ref="X113:AR113">XLOOKUP(MID(A113, SEARCH("+++", A113) + 3, LEN(A113)),'Defensive Data'!$A$2:$A$134,'Defensive Data'!$D$2:$X$134)</f>
        <v>17.6</v>
      </c>
      <c r="Y113" s="1">
        <v>30.7</v>
      </c>
      <c r="Z113" s="1">
        <v>57.4</v>
      </c>
      <c r="AA113" s="1">
        <v>177.0</v>
      </c>
      <c r="AB113" s="1">
        <v>1.1</v>
      </c>
      <c r="AC113" s="1">
        <v>36.5</v>
      </c>
      <c r="AD113" s="1">
        <v>144.5</v>
      </c>
      <c r="AE113" s="1">
        <v>4.0</v>
      </c>
      <c r="AF113" s="1">
        <v>1.3</v>
      </c>
      <c r="AG113" s="1">
        <v>67.2</v>
      </c>
      <c r="AH113" s="1">
        <v>321.5</v>
      </c>
      <c r="AI113" s="1">
        <v>4.8</v>
      </c>
      <c r="AJ113" s="1">
        <v>8.6</v>
      </c>
      <c r="AK113" s="1">
        <v>8.5</v>
      </c>
      <c r="AL113" s="1">
        <v>1.2</v>
      </c>
      <c r="AM113" s="1">
        <v>18.3</v>
      </c>
      <c r="AN113" s="1">
        <v>6.7</v>
      </c>
      <c r="AO113" s="1">
        <v>55.9</v>
      </c>
      <c r="AP113" s="1">
        <v>0.8</v>
      </c>
      <c r="AQ113" s="1">
        <v>1.2</v>
      </c>
      <c r="AR113" s="1">
        <v>2.1</v>
      </c>
    </row>
    <row r="114" ht="15.75" customHeight="1">
      <c r="A114" s="1" t="str">
        <f>CONCATENATE(Scores!A114,"+++",Scores!C114)</f>
        <v>Clemson+++Appalachian State</v>
      </c>
      <c r="B114" s="1">
        <f>Scores!B114</f>
        <v>66</v>
      </c>
      <c r="C114" s="1">
        <f t="array" ref="C114:W114">XLOOKUP(LEFT(A114,SEARCH("+",A114)-1),'Offensive Data'!$A$2:$A$134,'Offensive Data'!$D$2:$X$134)</f>
        <v>23.6</v>
      </c>
      <c r="D114" s="1">
        <v>38.1</v>
      </c>
      <c r="E114" s="1">
        <v>62.1</v>
      </c>
      <c r="F114" s="1">
        <v>278.5</v>
      </c>
      <c r="G114" s="1">
        <v>2.6</v>
      </c>
      <c r="H114" s="1">
        <v>33.8</v>
      </c>
      <c r="I114" s="1">
        <v>173.4</v>
      </c>
      <c r="J114" s="1">
        <v>5.1</v>
      </c>
      <c r="K114" s="1">
        <v>1.6</v>
      </c>
      <c r="L114" s="1">
        <v>71.9</v>
      </c>
      <c r="M114" s="1">
        <v>451.9</v>
      </c>
      <c r="N114" s="1">
        <v>6.3</v>
      </c>
      <c r="O114" s="1">
        <v>12.1</v>
      </c>
      <c r="P114" s="1">
        <v>9.9</v>
      </c>
      <c r="Q114" s="1">
        <v>2.0</v>
      </c>
      <c r="R114" s="1">
        <v>24.1</v>
      </c>
      <c r="S114" s="1">
        <v>4.9</v>
      </c>
      <c r="T114" s="1">
        <v>47.6</v>
      </c>
      <c r="U114" s="1">
        <v>0.2</v>
      </c>
      <c r="V114" s="1">
        <v>0.5</v>
      </c>
      <c r="W114" s="1">
        <v>0.7</v>
      </c>
      <c r="X114" s="1">
        <f t="array" ref="X114:AR114">XLOOKUP(MID(A114, SEARCH("+++", A114) + 3, LEN(A114)),'Defensive Data'!$A$2:$A$134,'Defensive Data'!$D$2:$X$134)</f>
        <v>17.6</v>
      </c>
      <c r="Y114" s="1">
        <v>25.6</v>
      </c>
      <c r="Z114" s="1">
        <v>68.8</v>
      </c>
      <c r="AA114" s="1">
        <v>214.8</v>
      </c>
      <c r="AB114" s="1">
        <v>1.8</v>
      </c>
      <c r="AC114" s="1">
        <v>37.4</v>
      </c>
      <c r="AD114" s="1">
        <v>197.6</v>
      </c>
      <c r="AE114" s="1">
        <v>5.3</v>
      </c>
      <c r="AF114" s="1">
        <v>2.2</v>
      </c>
      <c r="AG114" s="1">
        <v>63.0</v>
      </c>
      <c r="AH114" s="1">
        <v>412.5</v>
      </c>
      <c r="AI114" s="1">
        <v>6.5</v>
      </c>
      <c r="AJ114" s="1">
        <v>8.7</v>
      </c>
      <c r="AK114" s="1">
        <v>10.7</v>
      </c>
      <c r="AL114" s="1">
        <v>2.0</v>
      </c>
      <c r="AM114" s="1">
        <v>21.5</v>
      </c>
      <c r="AN114" s="1">
        <v>7.0</v>
      </c>
      <c r="AO114" s="1">
        <v>63.8</v>
      </c>
      <c r="AP114" s="1">
        <v>0.8</v>
      </c>
      <c r="AQ114" s="1">
        <v>0.4</v>
      </c>
      <c r="AR114" s="1">
        <v>1.2</v>
      </c>
    </row>
    <row r="115" ht="15.75" customHeight="1">
      <c r="A115" s="1" t="str">
        <f>CONCATENATE(Scores!A115,"+++",Scores!C115)</f>
        <v>Coastal Carolina+++William &amp; Mary</v>
      </c>
      <c r="B115" s="1">
        <f>Scores!B115</f>
        <v>40</v>
      </c>
      <c r="C115" s="1">
        <f t="array" ref="C115:W115">XLOOKUP(LEFT(A115,SEARCH("+",A115)-1),'Offensive Data'!$A$2:$A$134,'Offensive Data'!$D$2:$X$134)</f>
        <v>15</v>
      </c>
      <c r="D115" s="1">
        <v>27.6</v>
      </c>
      <c r="E115" s="1">
        <v>54.3</v>
      </c>
      <c r="F115" s="1">
        <v>202.0</v>
      </c>
      <c r="G115" s="1">
        <v>1.5</v>
      </c>
      <c r="H115" s="1">
        <v>37.2</v>
      </c>
      <c r="I115" s="1">
        <v>172.5</v>
      </c>
      <c r="J115" s="1">
        <v>4.6</v>
      </c>
      <c r="K115" s="1">
        <v>1.6</v>
      </c>
      <c r="L115" s="1">
        <v>64.8</v>
      </c>
      <c r="M115" s="1">
        <v>374.5</v>
      </c>
      <c r="N115" s="1">
        <v>5.8</v>
      </c>
      <c r="O115" s="1">
        <v>7.9</v>
      </c>
      <c r="P115" s="1">
        <v>8.4</v>
      </c>
      <c r="Q115" s="1">
        <v>1.8</v>
      </c>
      <c r="R115" s="1">
        <v>18.1</v>
      </c>
      <c r="S115" s="1">
        <v>6.9</v>
      </c>
      <c r="T115" s="1">
        <v>63.8</v>
      </c>
      <c r="U115" s="1">
        <v>0.5</v>
      </c>
      <c r="V115" s="1">
        <v>0.8</v>
      </c>
      <c r="W115" s="1">
        <v>1.3</v>
      </c>
      <c r="X115" s="1" t="str">
        <f t="array" ref="X115">XLOOKUP(MID(A115, SEARCH("+++", A115) + 3, LEN(A115)),'Defensive Data'!$A$2:$A$134,'Defensive Data'!$D$2:$X$134)</f>
        <v>#N/A</v>
      </c>
    </row>
    <row r="116" ht="15.75" customHeight="1">
      <c r="A116" s="1" t="str">
        <f>CONCATENATE(Scores!A116,"+++",Scores!C116)</f>
        <v>Colorado State+++Northern Colorado</v>
      </c>
      <c r="B116" s="1">
        <f>Scores!B116</f>
        <v>38</v>
      </c>
      <c r="C116" s="1">
        <f t="array" ref="C116:W116">XLOOKUP(LEFT(A116,SEARCH("+",A116)-1),'Offensive Data'!$A$2:$A$134,'Offensive Data'!$D$2:$X$134)</f>
        <v>18.2</v>
      </c>
      <c r="D116" s="1">
        <v>30.0</v>
      </c>
      <c r="E116" s="1">
        <v>60.5</v>
      </c>
      <c r="F116" s="1">
        <v>219.5</v>
      </c>
      <c r="G116" s="1">
        <v>1.2</v>
      </c>
      <c r="H116" s="1">
        <v>35.6</v>
      </c>
      <c r="I116" s="1">
        <v>168.2</v>
      </c>
      <c r="J116" s="1">
        <v>4.7</v>
      </c>
      <c r="K116" s="1">
        <v>1.5</v>
      </c>
      <c r="L116" s="1">
        <v>65.6</v>
      </c>
      <c r="M116" s="1">
        <v>387.6</v>
      </c>
      <c r="N116" s="1">
        <v>5.9</v>
      </c>
      <c r="O116" s="1">
        <v>8.7</v>
      </c>
      <c r="P116" s="1">
        <v>7.9</v>
      </c>
      <c r="Q116" s="1">
        <v>1.3</v>
      </c>
      <c r="R116" s="1">
        <v>17.9</v>
      </c>
      <c r="S116" s="1">
        <v>6.5</v>
      </c>
      <c r="T116" s="1">
        <v>51.5</v>
      </c>
      <c r="U116" s="1">
        <v>0.8</v>
      </c>
      <c r="V116" s="1">
        <v>0.8</v>
      </c>
      <c r="W116" s="1">
        <v>1.5</v>
      </c>
      <c r="X116" s="1" t="str">
        <f t="array" ref="X116">XLOOKUP(MID(A116, SEARCH("+++", A116) + 3, LEN(A116)),'Defensive Data'!$A$2:$A$134,'Defensive Data'!$D$2:$X$134)</f>
        <v>#N/A</v>
      </c>
    </row>
    <row r="117" ht="15.75" customHeight="1">
      <c r="A117" s="1" t="str">
        <f>CONCATENATE(Scores!A117,"+++",Scores!C117)</f>
        <v>Connecticut+++Merrimack</v>
      </c>
      <c r="B117" s="1">
        <f>Scores!B117</f>
        <v>63</v>
      </c>
      <c r="C117" s="1">
        <f t="array" ref="C117:W117">XLOOKUP(LEFT(A117,SEARCH("+",A117)-1),'Offensive Data'!$A$2:$A$134,'Offensive Data'!$D$2:$X$134)</f>
        <v>17.1</v>
      </c>
      <c r="D117" s="1">
        <v>30.5</v>
      </c>
      <c r="E117" s="1">
        <v>56.1</v>
      </c>
      <c r="F117" s="1">
        <v>198.4</v>
      </c>
      <c r="G117" s="1">
        <v>1.9</v>
      </c>
      <c r="H117" s="1">
        <v>39.7</v>
      </c>
      <c r="I117" s="1">
        <v>199.2</v>
      </c>
      <c r="J117" s="1">
        <v>5.0</v>
      </c>
      <c r="K117" s="1">
        <v>1.8</v>
      </c>
      <c r="L117" s="1">
        <v>70.2</v>
      </c>
      <c r="M117" s="1">
        <v>397.6</v>
      </c>
      <c r="N117" s="1">
        <v>5.7</v>
      </c>
      <c r="O117" s="1">
        <v>8.8</v>
      </c>
      <c r="P117" s="1">
        <v>9.3</v>
      </c>
      <c r="Q117" s="1">
        <v>2.5</v>
      </c>
      <c r="R117" s="1">
        <v>20.6</v>
      </c>
      <c r="S117" s="1">
        <v>5.3</v>
      </c>
      <c r="T117" s="1">
        <v>52.7</v>
      </c>
      <c r="U117" s="1">
        <v>0.5</v>
      </c>
      <c r="V117" s="1">
        <v>0.7</v>
      </c>
      <c r="W117" s="1">
        <v>1.2</v>
      </c>
      <c r="X117" s="1" t="str">
        <f t="array" ref="X117">XLOOKUP(MID(A117, SEARCH("+++", A117) + 3, LEN(A117)),'Defensive Data'!$A$2:$A$134,'Defensive Data'!$D$2:$X$134)</f>
        <v>#N/A</v>
      </c>
    </row>
    <row r="118" ht="15.75" customHeight="1">
      <c r="A118" s="1" t="str">
        <f>CONCATENATE(Scores!A118,"+++",Scores!C118)</f>
        <v>East Carolina+++Old Dominion</v>
      </c>
      <c r="B118" s="1">
        <f>Scores!B118</f>
        <v>20</v>
      </c>
      <c r="C118" s="1">
        <f t="array" ref="C118:W118">XLOOKUP(LEFT(A118,SEARCH("+",A118)-1),'Offensive Data'!$A$2:$A$134,'Offensive Data'!$D$2:$X$134)</f>
        <v>19.8</v>
      </c>
      <c r="D118" s="1">
        <v>32.9</v>
      </c>
      <c r="E118" s="1">
        <v>60.3</v>
      </c>
      <c r="F118" s="1">
        <v>264.0</v>
      </c>
      <c r="G118" s="1">
        <v>2.0</v>
      </c>
      <c r="H118" s="1">
        <v>36.2</v>
      </c>
      <c r="I118" s="1">
        <v>172.4</v>
      </c>
      <c r="J118" s="1">
        <v>4.8</v>
      </c>
      <c r="K118" s="1">
        <v>1.8</v>
      </c>
      <c r="L118" s="1">
        <v>69.2</v>
      </c>
      <c r="M118" s="1">
        <v>436.4</v>
      </c>
      <c r="N118" s="1">
        <v>6.3</v>
      </c>
      <c r="O118" s="1">
        <v>11.6</v>
      </c>
      <c r="P118" s="1">
        <v>8.7</v>
      </c>
      <c r="Q118" s="1">
        <v>1.7</v>
      </c>
      <c r="R118" s="1">
        <v>22.0</v>
      </c>
      <c r="S118" s="1">
        <v>7.6</v>
      </c>
      <c r="T118" s="1">
        <v>63.6</v>
      </c>
      <c r="U118" s="1">
        <v>0.5</v>
      </c>
      <c r="V118" s="1">
        <v>1.8</v>
      </c>
      <c r="W118" s="1">
        <v>2.3</v>
      </c>
      <c r="X118" s="1">
        <f t="array" ref="X118:AR118">XLOOKUP(MID(A118, SEARCH("+++", A118) + 3, LEN(A118)),'Defensive Data'!$A$2:$A$134,'Defensive Data'!$D$2:$X$134)</f>
        <v>19</v>
      </c>
      <c r="Y118" s="1">
        <v>31.2</v>
      </c>
      <c r="Z118" s="1">
        <v>61.0</v>
      </c>
      <c r="AA118" s="1">
        <v>237.8</v>
      </c>
      <c r="AB118" s="1">
        <v>1.9</v>
      </c>
      <c r="AC118" s="1">
        <v>40.4</v>
      </c>
      <c r="AD118" s="1">
        <v>172.6</v>
      </c>
      <c r="AE118" s="1">
        <v>4.3</v>
      </c>
      <c r="AF118" s="1">
        <v>1.5</v>
      </c>
      <c r="AG118" s="1">
        <v>71.6</v>
      </c>
      <c r="AH118" s="1">
        <v>410.4</v>
      </c>
      <c r="AI118" s="1">
        <v>5.7</v>
      </c>
      <c r="AJ118" s="1">
        <v>9.8</v>
      </c>
      <c r="AK118" s="1">
        <v>9.7</v>
      </c>
      <c r="AL118" s="1">
        <v>1.8</v>
      </c>
      <c r="AM118" s="1">
        <v>21.3</v>
      </c>
      <c r="AN118" s="1">
        <v>5.9</v>
      </c>
      <c r="AO118" s="1">
        <v>49.2</v>
      </c>
      <c r="AP118" s="1">
        <v>0.4</v>
      </c>
      <c r="AQ118" s="1">
        <v>1.0</v>
      </c>
      <c r="AR118" s="1">
        <v>1.4</v>
      </c>
    </row>
    <row r="119" ht="15.75" customHeight="1">
      <c r="A119" s="1" t="str">
        <f>CONCATENATE(Scores!A119,"+++",Scores!C119)</f>
        <v>Florida+++Samford</v>
      </c>
      <c r="B119" s="1">
        <f>Scores!B119</f>
        <v>45</v>
      </c>
      <c r="C119" s="1">
        <f t="array" ref="C119:W119">XLOOKUP(LEFT(A119,SEARCH("+",A119)-1),'Offensive Data'!$A$2:$A$134,'Offensive Data'!$D$2:$X$134)</f>
        <v>16</v>
      </c>
      <c r="D119" s="1">
        <v>26.3</v>
      </c>
      <c r="E119" s="1">
        <v>60.8</v>
      </c>
      <c r="F119" s="1">
        <v>225.7</v>
      </c>
      <c r="G119" s="1">
        <v>1.4</v>
      </c>
      <c r="H119" s="1">
        <v>35.5</v>
      </c>
      <c r="I119" s="1">
        <v>161.2</v>
      </c>
      <c r="J119" s="1">
        <v>4.5</v>
      </c>
      <c r="K119" s="1">
        <v>2.0</v>
      </c>
      <c r="L119" s="1">
        <v>61.8</v>
      </c>
      <c r="M119" s="1">
        <v>386.9</v>
      </c>
      <c r="N119" s="1">
        <v>6.3</v>
      </c>
      <c r="O119" s="1">
        <v>9.2</v>
      </c>
      <c r="P119" s="1">
        <v>8.7</v>
      </c>
      <c r="Q119" s="1">
        <v>1.4</v>
      </c>
      <c r="R119" s="1">
        <v>19.2</v>
      </c>
      <c r="S119" s="1">
        <v>5.9</v>
      </c>
      <c r="T119" s="1">
        <v>54.0</v>
      </c>
      <c r="U119" s="1">
        <v>0.4</v>
      </c>
      <c r="V119" s="1">
        <v>1.1</v>
      </c>
      <c r="W119" s="1">
        <v>1.5</v>
      </c>
      <c r="X119" s="1" t="str">
        <f t="array" ref="X119">XLOOKUP(MID(A119, SEARCH("+++", A119) + 3, LEN(A119)),'Defensive Data'!$A$2:$A$134,'Defensive Data'!$D$2:$X$134)</f>
        <v>#N/A</v>
      </c>
    </row>
    <row r="120" ht="15.75" customHeight="1">
      <c r="A120" s="1" t="str">
        <f>CONCATENATE(Scores!A120,"+++",Scores!C120)</f>
        <v>Florida International+++Central Michigan</v>
      </c>
      <c r="B120" s="1">
        <f>Scores!B120</f>
        <v>52</v>
      </c>
      <c r="C120" s="1">
        <f t="array" ref="C120:W120">XLOOKUP(LEFT(A120,SEARCH("+",A120)-1),'Offensive Data'!$A$2:$A$134,'Offensive Data'!$D$2:$X$134)</f>
        <v>17.2</v>
      </c>
      <c r="D120" s="1">
        <v>27.8</v>
      </c>
      <c r="E120" s="1">
        <v>61.7</v>
      </c>
      <c r="F120" s="1">
        <v>229.4</v>
      </c>
      <c r="G120" s="1">
        <v>2.0</v>
      </c>
      <c r="H120" s="1">
        <v>33.4</v>
      </c>
      <c r="I120" s="1">
        <v>120.6</v>
      </c>
      <c r="J120" s="1">
        <v>3.6</v>
      </c>
      <c r="K120" s="1">
        <v>1.3</v>
      </c>
      <c r="L120" s="1">
        <v>61.3</v>
      </c>
      <c r="M120" s="1">
        <v>350.0</v>
      </c>
      <c r="N120" s="1">
        <v>5.7</v>
      </c>
      <c r="O120" s="1">
        <v>9.9</v>
      </c>
      <c r="P120" s="1">
        <v>6.4</v>
      </c>
      <c r="Q120" s="1">
        <v>1.6</v>
      </c>
      <c r="R120" s="1">
        <v>17.9</v>
      </c>
      <c r="S120" s="1">
        <v>5.5</v>
      </c>
      <c r="T120" s="1">
        <v>47.4</v>
      </c>
      <c r="U120" s="1">
        <v>0.7</v>
      </c>
      <c r="V120" s="1">
        <v>0.9</v>
      </c>
      <c r="W120" s="1">
        <v>1.6</v>
      </c>
      <c r="X120" s="1">
        <f t="array" ref="X120:AR120">XLOOKUP(MID(A120, SEARCH("+++", A120) + 3, LEN(A120)),'Defensive Data'!$A$2:$A$134,'Defensive Data'!$D$2:$X$134)</f>
        <v>16.4</v>
      </c>
      <c r="Y120" s="1">
        <v>27.3</v>
      </c>
      <c r="Z120" s="1">
        <v>60.1</v>
      </c>
      <c r="AA120" s="1">
        <v>193.8</v>
      </c>
      <c r="AB120" s="1">
        <v>1.4</v>
      </c>
      <c r="AC120" s="1">
        <v>37.1</v>
      </c>
      <c r="AD120" s="1">
        <v>169.8</v>
      </c>
      <c r="AE120" s="1">
        <v>4.6</v>
      </c>
      <c r="AF120" s="1">
        <v>1.7</v>
      </c>
      <c r="AG120" s="1">
        <v>64.4</v>
      </c>
      <c r="AH120" s="1">
        <v>363.6</v>
      </c>
      <c r="AI120" s="1">
        <v>5.6</v>
      </c>
      <c r="AJ120" s="1">
        <v>8.8</v>
      </c>
      <c r="AK120" s="1">
        <v>8.3</v>
      </c>
      <c r="AL120" s="1">
        <v>2.1</v>
      </c>
      <c r="AM120" s="1">
        <v>19.1</v>
      </c>
      <c r="AN120" s="1">
        <v>6.4</v>
      </c>
      <c r="AO120" s="1">
        <v>58.8</v>
      </c>
      <c r="AP120" s="1">
        <v>0.3</v>
      </c>
      <c r="AQ120" s="1">
        <v>0.2</v>
      </c>
      <c r="AR120" s="1">
        <v>0.4</v>
      </c>
    </row>
    <row r="121" ht="15.75" customHeight="1">
      <c r="A121" s="1" t="str">
        <f>CONCATENATE(Scores!A121,"+++",Scores!C121)</f>
        <v>Fresno State+++Sacramento State</v>
      </c>
      <c r="B121" s="1">
        <f>Scores!B121</f>
        <v>46</v>
      </c>
      <c r="C121" s="1">
        <f t="array" ref="C121:W121">XLOOKUP(LEFT(A121,SEARCH("+",A121)-1),'Offensive Data'!$A$2:$A$134,'Offensive Data'!$D$2:$X$134)</f>
        <v>23.1</v>
      </c>
      <c r="D121" s="1">
        <v>33.2</v>
      </c>
      <c r="E121" s="1">
        <v>69.4</v>
      </c>
      <c r="F121" s="1">
        <v>242.5</v>
      </c>
      <c r="G121" s="1">
        <v>1.5</v>
      </c>
      <c r="H121" s="1">
        <v>29.5</v>
      </c>
      <c r="I121" s="1">
        <v>98.2</v>
      </c>
      <c r="J121" s="1">
        <v>3.3</v>
      </c>
      <c r="K121" s="1">
        <v>1.6</v>
      </c>
      <c r="L121" s="1">
        <v>62.7</v>
      </c>
      <c r="M121" s="1">
        <v>340.6</v>
      </c>
      <c r="N121" s="1">
        <v>5.4</v>
      </c>
      <c r="O121" s="1">
        <v>10.8</v>
      </c>
      <c r="P121" s="1">
        <v>5.6</v>
      </c>
      <c r="Q121" s="1">
        <v>2.4</v>
      </c>
      <c r="R121" s="1">
        <v>18.8</v>
      </c>
      <c r="S121" s="1">
        <v>6.2</v>
      </c>
      <c r="T121" s="1">
        <v>54.7</v>
      </c>
      <c r="U121" s="1">
        <v>0.2</v>
      </c>
      <c r="V121" s="1">
        <v>1.1</v>
      </c>
      <c r="W121" s="1">
        <v>1.3</v>
      </c>
      <c r="X121" s="1" t="str">
        <f t="array" ref="X121">XLOOKUP(MID(A121, SEARCH("+++", A121) + 3, LEN(A121)),'Defensive Data'!$A$2:$A$134,'Defensive Data'!$D$2:$X$134)</f>
        <v>#N/A</v>
      </c>
    </row>
    <row r="122" ht="15.75" customHeight="1">
      <c r="A122" s="1" t="str">
        <f>CONCATENATE(Scores!A122,"+++",Scores!C122)</f>
        <v>Georgia+++Tennessee Tech</v>
      </c>
      <c r="B122" s="1">
        <f>Scores!B122</f>
        <v>48</v>
      </c>
      <c r="C122" s="1">
        <f t="array" ref="C122:W122">XLOOKUP(LEFT(A122,SEARCH("+",A122)-1),'Offensive Data'!$A$2:$A$134,'Offensive Data'!$D$2:$X$134)</f>
        <v>24</v>
      </c>
      <c r="D122" s="1">
        <v>36.6</v>
      </c>
      <c r="E122" s="1">
        <v>65.5</v>
      </c>
      <c r="F122" s="1">
        <v>281.0</v>
      </c>
      <c r="G122" s="1">
        <v>2.1</v>
      </c>
      <c r="H122" s="1">
        <v>30.6</v>
      </c>
      <c r="I122" s="1">
        <v>124.4</v>
      </c>
      <c r="J122" s="1">
        <v>4.1</v>
      </c>
      <c r="K122" s="1">
        <v>1.7</v>
      </c>
      <c r="L122" s="1">
        <v>67.3</v>
      </c>
      <c r="M122" s="1">
        <v>405.4</v>
      </c>
      <c r="N122" s="1">
        <v>6.0</v>
      </c>
      <c r="O122" s="1">
        <v>12.9</v>
      </c>
      <c r="P122" s="1">
        <v>7.3</v>
      </c>
      <c r="Q122" s="1">
        <v>1.6</v>
      </c>
      <c r="R122" s="1">
        <v>21.9</v>
      </c>
      <c r="S122" s="1">
        <v>5.7</v>
      </c>
      <c r="T122" s="1">
        <v>53.6</v>
      </c>
      <c r="U122" s="1">
        <v>0.5</v>
      </c>
      <c r="V122" s="1">
        <v>0.9</v>
      </c>
      <c r="W122" s="1">
        <v>1.4</v>
      </c>
      <c r="X122" s="1" t="str">
        <f t="array" ref="X122">XLOOKUP(MID(A122, SEARCH("+++", A122) + 3, LEN(A122)),'Defensive Data'!$A$2:$A$134,'Defensive Data'!$D$2:$X$134)</f>
        <v>#N/A</v>
      </c>
    </row>
    <row r="123" ht="15.75" customHeight="1">
      <c r="A123" s="1" t="str">
        <f>CONCATENATE(Scores!A123,"+++",Scores!C123)</f>
        <v>Georgia Southern+++Nevada</v>
      </c>
      <c r="B123" s="1">
        <f>Scores!B123</f>
        <v>20</v>
      </c>
      <c r="C123" s="1">
        <f t="array" ref="C123:W123">XLOOKUP(LEFT(A123,SEARCH("+",A123)-1),'Offensive Data'!$A$2:$A$134,'Offensive Data'!$D$2:$X$134)</f>
        <v>22.2</v>
      </c>
      <c r="D123" s="1">
        <v>34.3</v>
      </c>
      <c r="E123" s="1">
        <v>64.8</v>
      </c>
      <c r="F123" s="1">
        <v>237.8</v>
      </c>
      <c r="G123" s="1">
        <v>1.6</v>
      </c>
      <c r="H123" s="1">
        <v>34.4</v>
      </c>
      <c r="I123" s="1">
        <v>128.4</v>
      </c>
      <c r="J123" s="1">
        <v>3.7</v>
      </c>
      <c r="K123" s="1">
        <v>1.8</v>
      </c>
      <c r="L123" s="1">
        <v>68.7</v>
      </c>
      <c r="M123" s="1">
        <v>366.2</v>
      </c>
      <c r="N123" s="1">
        <v>5.3</v>
      </c>
      <c r="O123" s="1">
        <v>10.7</v>
      </c>
      <c r="P123" s="1">
        <v>8.4</v>
      </c>
      <c r="Q123" s="1">
        <v>2.7</v>
      </c>
      <c r="R123" s="1">
        <v>21.8</v>
      </c>
      <c r="S123" s="1">
        <v>5.6</v>
      </c>
      <c r="T123" s="1">
        <v>48.3</v>
      </c>
      <c r="U123" s="1">
        <v>0.8</v>
      </c>
      <c r="V123" s="1">
        <v>0.8</v>
      </c>
      <c r="W123" s="1">
        <v>1.7</v>
      </c>
      <c r="X123" s="1">
        <f t="array" ref="X123:AR123">XLOOKUP(MID(A123, SEARCH("+++", A123) + 3, LEN(A123)),'Defensive Data'!$A$2:$A$134,'Defensive Data'!$D$2:$X$134)</f>
        <v>16.2</v>
      </c>
      <c r="Y123" s="1">
        <v>26.7</v>
      </c>
      <c r="Z123" s="1">
        <v>60.5</v>
      </c>
      <c r="AA123" s="1">
        <v>198.6</v>
      </c>
      <c r="AB123" s="1">
        <v>1.0</v>
      </c>
      <c r="AC123" s="1">
        <v>38.2</v>
      </c>
      <c r="AD123" s="1">
        <v>192.8</v>
      </c>
      <c r="AE123" s="1">
        <v>5.1</v>
      </c>
      <c r="AF123" s="1">
        <v>2.4</v>
      </c>
      <c r="AG123" s="1">
        <v>64.8</v>
      </c>
      <c r="AH123" s="1">
        <v>391.5</v>
      </c>
      <c r="AI123" s="1">
        <v>6.0</v>
      </c>
      <c r="AJ123" s="1">
        <v>9.7</v>
      </c>
      <c r="AK123" s="1">
        <v>10.4</v>
      </c>
      <c r="AL123" s="1">
        <v>2.8</v>
      </c>
      <c r="AM123" s="1">
        <v>22.8</v>
      </c>
      <c r="AN123" s="1">
        <v>5.4</v>
      </c>
      <c r="AO123" s="1">
        <v>49.2</v>
      </c>
      <c r="AP123" s="1">
        <v>0.2</v>
      </c>
      <c r="AQ123" s="1">
        <v>0.8</v>
      </c>
      <c r="AR123" s="1">
        <v>1.0</v>
      </c>
    </row>
    <row r="124" ht="15.75" customHeight="1">
      <c r="A124" s="1" t="str">
        <f>CONCATENATE(Scores!A124,"+++",Scores!C124)</f>
        <v>Georgia State+++Chattanooga</v>
      </c>
      <c r="B124" s="1">
        <f>Scores!B124</f>
        <v>24</v>
      </c>
      <c r="C124" s="1">
        <f t="array" ref="C124:W124">XLOOKUP(LEFT(A124,SEARCH("+",A124)-1),'Offensive Data'!$A$2:$A$134,'Offensive Data'!$D$2:$X$134)</f>
        <v>22.6</v>
      </c>
      <c r="D124" s="1">
        <v>37.4</v>
      </c>
      <c r="E124" s="1">
        <v>60.4</v>
      </c>
      <c r="F124" s="1">
        <v>255.8</v>
      </c>
      <c r="G124" s="1">
        <v>1.8</v>
      </c>
      <c r="H124" s="1">
        <v>30.4</v>
      </c>
      <c r="I124" s="1">
        <v>133.3</v>
      </c>
      <c r="J124" s="1">
        <v>4.4</v>
      </c>
      <c r="K124" s="1">
        <v>1.1</v>
      </c>
      <c r="L124" s="1">
        <v>67.8</v>
      </c>
      <c r="M124" s="1">
        <v>389.0</v>
      </c>
      <c r="N124" s="1">
        <v>5.7</v>
      </c>
      <c r="O124" s="1">
        <v>11.8</v>
      </c>
      <c r="P124" s="1">
        <v>6.9</v>
      </c>
      <c r="Q124" s="1">
        <v>2.0</v>
      </c>
      <c r="R124" s="1">
        <v>20.8</v>
      </c>
      <c r="S124" s="1">
        <v>5.1</v>
      </c>
      <c r="T124" s="1">
        <v>49.1</v>
      </c>
      <c r="U124" s="1">
        <v>0.5</v>
      </c>
      <c r="V124" s="1">
        <v>1.1</v>
      </c>
      <c r="W124" s="1">
        <v>1.6</v>
      </c>
      <c r="X124" s="1" t="str">
        <f t="array" ref="X124">XLOOKUP(MID(A124, SEARCH("+++", A124) + 3, LEN(A124)),'Defensive Data'!$A$2:$A$134,'Defensive Data'!$D$2:$X$134)</f>
        <v>#N/A</v>
      </c>
    </row>
    <row r="125" ht="15.75" customHeight="1">
      <c r="A125" s="1" t="str">
        <f>CONCATENATE(Scores!A125,"+++",Scores!C125)</f>
        <v>Idaho+++Wyoming</v>
      </c>
      <c r="B125" s="1">
        <f>Scores!B125</f>
        <v>17</v>
      </c>
      <c r="C125" s="1" t="str">
        <f t="array" ref="C125">XLOOKUP(LEFT(A125,SEARCH("+",A125)-1),'Offensive Data'!$A$2:$A$134,'Offensive Data'!$D$2:$X$134)</f>
        <v>#N/A</v>
      </c>
      <c r="X125" s="1">
        <f t="array" ref="X125:AR125">XLOOKUP(MID(A125, SEARCH("+++", A125) + 3, LEN(A125)),'Defensive Data'!$A$2:$A$134,'Defensive Data'!$D$2:$X$134)</f>
        <v>17.6</v>
      </c>
      <c r="Y125" s="1">
        <v>28.5</v>
      </c>
      <c r="Z125" s="1">
        <v>61.7</v>
      </c>
      <c r="AA125" s="1">
        <v>218.9</v>
      </c>
      <c r="AB125" s="1">
        <v>1.3</v>
      </c>
      <c r="AC125" s="1">
        <v>35.0</v>
      </c>
      <c r="AD125" s="1">
        <v>191.7</v>
      </c>
      <c r="AE125" s="1">
        <v>5.5</v>
      </c>
      <c r="AF125" s="1">
        <v>1.8</v>
      </c>
      <c r="AG125" s="1">
        <v>63.5</v>
      </c>
      <c r="AH125" s="1">
        <v>410.6</v>
      </c>
      <c r="AI125" s="1">
        <v>6.5</v>
      </c>
      <c r="AJ125" s="1">
        <v>9.8</v>
      </c>
      <c r="AK125" s="1">
        <v>8.7</v>
      </c>
      <c r="AL125" s="1">
        <v>1.5</v>
      </c>
      <c r="AM125" s="1">
        <v>19.9</v>
      </c>
      <c r="AN125" s="1">
        <v>7.1</v>
      </c>
      <c r="AO125" s="1">
        <v>58.8</v>
      </c>
      <c r="AP125" s="1">
        <v>0.4</v>
      </c>
      <c r="AQ125" s="1">
        <v>0.5</v>
      </c>
      <c r="AR125" s="1">
        <v>0.9</v>
      </c>
    </row>
    <row r="126" ht="15.75" customHeight="1">
      <c r="A126" s="1" t="str">
        <f>CONCATENATE(Scores!A126,"+++",Scores!C126)</f>
        <v>Illinois+++Kansas</v>
      </c>
      <c r="B126" s="1">
        <f>Scores!B126</f>
        <v>23</v>
      </c>
      <c r="C126" s="1">
        <f t="array" ref="C126:W126">XLOOKUP(LEFT(A126,SEARCH("+",A126)-1),'Offensive Data'!$A$2:$A$134,'Offensive Data'!$D$2:$X$134)</f>
        <v>16.4</v>
      </c>
      <c r="D126" s="1">
        <v>27.2</v>
      </c>
      <c r="E126" s="1">
        <v>60.3</v>
      </c>
      <c r="F126" s="1">
        <v>211.2</v>
      </c>
      <c r="G126" s="1">
        <v>1.7</v>
      </c>
      <c r="H126" s="1">
        <v>34.8</v>
      </c>
      <c r="I126" s="1">
        <v>153.6</v>
      </c>
      <c r="J126" s="1">
        <v>4.4</v>
      </c>
      <c r="K126" s="1">
        <v>1.7</v>
      </c>
      <c r="L126" s="1">
        <v>61.9</v>
      </c>
      <c r="M126" s="1">
        <v>364.8</v>
      </c>
      <c r="N126" s="1">
        <v>5.9</v>
      </c>
      <c r="O126" s="1">
        <v>9.8</v>
      </c>
      <c r="P126" s="1">
        <v>8.5</v>
      </c>
      <c r="Q126" s="1">
        <v>2.2</v>
      </c>
      <c r="R126" s="1">
        <v>20.4</v>
      </c>
      <c r="S126" s="1">
        <v>5.2</v>
      </c>
      <c r="T126" s="1">
        <v>40.2</v>
      </c>
      <c r="U126" s="1">
        <v>0.6</v>
      </c>
      <c r="V126" s="1">
        <v>0.5</v>
      </c>
      <c r="W126" s="1">
        <v>1.1</v>
      </c>
      <c r="X126" s="1">
        <f t="array" ref="X126:AR126">XLOOKUP(MID(A126, SEARCH("+++", A126) + 3, LEN(A126)),'Defensive Data'!$A$2:$A$134,'Defensive Data'!$D$2:$X$134)</f>
        <v>18.9</v>
      </c>
      <c r="Y126" s="1">
        <v>30.0</v>
      </c>
      <c r="Z126" s="1">
        <v>63.1</v>
      </c>
      <c r="AA126" s="1">
        <v>239.1</v>
      </c>
      <c r="AB126" s="1">
        <v>2.1</v>
      </c>
      <c r="AC126" s="1">
        <v>34.3</v>
      </c>
      <c r="AD126" s="1">
        <v>153.5</v>
      </c>
      <c r="AE126" s="1">
        <v>4.5</v>
      </c>
      <c r="AF126" s="1">
        <v>0.8</v>
      </c>
      <c r="AG126" s="1">
        <v>64.3</v>
      </c>
      <c r="AH126" s="1">
        <v>392.6</v>
      </c>
      <c r="AI126" s="1">
        <v>6.1</v>
      </c>
      <c r="AJ126" s="1">
        <v>10.5</v>
      </c>
      <c r="AK126" s="1">
        <v>9.6</v>
      </c>
      <c r="AL126" s="1">
        <v>1.2</v>
      </c>
      <c r="AM126" s="1">
        <v>21.3</v>
      </c>
      <c r="AN126" s="1">
        <v>4.5</v>
      </c>
      <c r="AO126" s="1">
        <v>40.8</v>
      </c>
      <c r="AP126" s="1">
        <v>0.4</v>
      </c>
      <c r="AQ126" s="1">
        <v>1.0</v>
      </c>
      <c r="AR126" s="1">
        <v>1.4</v>
      </c>
    </row>
    <row r="127" ht="15.75" customHeight="1">
      <c r="A127" s="1" t="str">
        <f>CONCATENATE(Scores!A127,"+++",Scores!C127)</f>
        <v>Iowa State+++Iowa</v>
      </c>
      <c r="B127" s="1">
        <f>Scores!B127</f>
        <v>20</v>
      </c>
      <c r="C127" s="1">
        <f t="array" ref="C127:W127">XLOOKUP(LEFT(A127,SEARCH("+",A127)-1),'Offensive Data'!$A$2:$A$134,'Offensive Data'!$D$2:$X$134)</f>
        <v>19.8</v>
      </c>
      <c r="D127" s="1">
        <v>33.8</v>
      </c>
      <c r="E127" s="1">
        <v>58.6</v>
      </c>
      <c r="F127" s="1">
        <v>255.7</v>
      </c>
      <c r="G127" s="1">
        <v>1.8</v>
      </c>
      <c r="H127" s="1">
        <v>36.9</v>
      </c>
      <c r="I127" s="1">
        <v>160.5</v>
      </c>
      <c r="J127" s="1">
        <v>4.4</v>
      </c>
      <c r="K127" s="1">
        <v>1.9</v>
      </c>
      <c r="L127" s="1">
        <v>70.6</v>
      </c>
      <c r="M127" s="1">
        <v>416.2</v>
      </c>
      <c r="N127" s="1">
        <v>5.9</v>
      </c>
      <c r="O127" s="1">
        <v>11.4</v>
      </c>
      <c r="P127" s="1">
        <v>8.7</v>
      </c>
      <c r="Q127" s="1">
        <v>2.5</v>
      </c>
      <c r="R127" s="1">
        <v>22.6</v>
      </c>
      <c r="S127" s="1">
        <v>3.8</v>
      </c>
      <c r="T127" s="1">
        <v>28.0</v>
      </c>
      <c r="U127" s="1">
        <v>0.4</v>
      </c>
      <c r="V127" s="1">
        <v>0.7</v>
      </c>
      <c r="W127" s="1">
        <v>1.1</v>
      </c>
      <c r="X127" s="1">
        <f t="array" ref="X127:AR127">XLOOKUP(MID(A127, SEARCH("+++", A127) + 3, LEN(A127)),'Defensive Data'!$A$2:$A$134,'Defensive Data'!$D$2:$X$134)</f>
        <v>20</v>
      </c>
      <c r="Y127" s="1">
        <v>32.3</v>
      </c>
      <c r="Z127" s="1">
        <v>61.9</v>
      </c>
      <c r="AA127" s="1">
        <v>203.1</v>
      </c>
      <c r="AB127" s="1">
        <v>1.5</v>
      </c>
      <c r="AC127" s="1">
        <v>31.2</v>
      </c>
      <c r="AD127" s="1">
        <v>115.3</v>
      </c>
      <c r="AE127" s="1">
        <v>3.7</v>
      </c>
      <c r="AF127" s="1">
        <v>0.3</v>
      </c>
      <c r="AG127" s="1">
        <v>63.5</v>
      </c>
      <c r="AH127" s="1">
        <v>318.4</v>
      </c>
      <c r="AI127" s="1">
        <v>5.0</v>
      </c>
      <c r="AJ127" s="1">
        <v>9.5</v>
      </c>
      <c r="AK127" s="1">
        <v>7.2</v>
      </c>
      <c r="AL127" s="1">
        <v>1.1</v>
      </c>
      <c r="AM127" s="1">
        <v>17.7</v>
      </c>
      <c r="AN127" s="1">
        <v>5.7</v>
      </c>
      <c r="AO127" s="1">
        <v>44.7</v>
      </c>
      <c r="AP127" s="1">
        <v>0.6</v>
      </c>
      <c r="AQ127" s="1">
        <v>1.2</v>
      </c>
      <c r="AR127" s="1">
        <v>1.8</v>
      </c>
    </row>
    <row r="128" ht="15.75" customHeight="1">
      <c r="A128" s="1" t="str">
        <f>CONCATENATE(Scores!A128,"+++",Scores!C128)</f>
        <v>James Madison+++Gardner-Webb</v>
      </c>
      <c r="B128" s="1">
        <f>Scores!B128</f>
        <v>13</v>
      </c>
      <c r="C128" s="1">
        <f t="array" ref="C128:W128">XLOOKUP(LEFT(A128,SEARCH("+",A128)-1),'Offensive Data'!$A$2:$A$134,'Offensive Data'!$D$2:$X$134)</f>
        <v>17.8</v>
      </c>
      <c r="D128" s="1">
        <v>29.4</v>
      </c>
      <c r="E128" s="1">
        <v>60.7</v>
      </c>
      <c r="F128" s="1">
        <v>216.1</v>
      </c>
      <c r="G128" s="1">
        <v>2.2</v>
      </c>
      <c r="H128" s="1">
        <v>40.0</v>
      </c>
      <c r="I128" s="1">
        <v>191.5</v>
      </c>
      <c r="J128" s="1">
        <v>4.8</v>
      </c>
      <c r="K128" s="1">
        <v>1.5</v>
      </c>
      <c r="L128" s="1">
        <v>69.4</v>
      </c>
      <c r="M128" s="1">
        <v>407.6</v>
      </c>
      <c r="N128" s="1">
        <v>5.9</v>
      </c>
      <c r="O128" s="1">
        <v>9.4</v>
      </c>
      <c r="P128" s="1">
        <v>10.0</v>
      </c>
      <c r="Q128" s="1">
        <v>1.3</v>
      </c>
      <c r="R128" s="1">
        <v>20.7</v>
      </c>
      <c r="S128" s="1">
        <v>7.0</v>
      </c>
      <c r="T128" s="1">
        <v>54.5</v>
      </c>
      <c r="U128" s="1">
        <v>0.4</v>
      </c>
      <c r="V128" s="1">
        <v>0.3</v>
      </c>
      <c r="W128" s="1">
        <v>0.7</v>
      </c>
      <c r="X128" s="1" t="str">
        <f t="array" ref="X128">XLOOKUP(MID(A128, SEARCH("+++", A128) + 3, LEN(A128)),'Defensive Data'!$A$2:$A$134,'Defensive Data'!$D$2:$X$134)</f>
        <v>#N/A</v>
      </c>
    </row>
    <row r="129" ht="15.75" customHeight="1">
      <c r="A129" s="1" t="str">
        <f>CONCATENATE(Scores!A129,"+++",Scores!C129)</f>
        <v>Kansas State+++Tulane</v>
      </c>
      <c r="B129" s="1">
        <f>Scores!B129</f>
        <v>34</v>
      </c>
      <c r="C129" s="1">
        <f t="array" ref="C129:W129">XLOOKUP(LEFT(A129,SEARCH("+",A129)-1),'Offensive Data'!$A$2:$A$134,'Offensive Data'!$D$2:$X$134)</f>
        <v>17.1</v>
      </c>
      <c r="D129" s="1">
        <v>29.5</v>
      </c>
      <c r="E129" s="1">
        <v>58.0</v>
      </c>
      <c r="F129" s="1">
        <v>211.4</v>
      </c>
      <c r="G129" s="1">
        <v>1.9</v>
      </c>
      <c r="H129" s="1">
        <v>35.5</v>
      </c>
      <c r="I129" s="1">
        <v>215.5</v>
      </c>
      <c r="J129" s="1">
        <v>6.1</v>
      </c>
      <c r="K129" s="1">
        <v>1.6</v>
      </c>
      <c r="L129" s="1">
        <v>64.9</v>
      </c>
      <c r="M129" s="1">
        <v>426.8</v>
      </c>
      <c r="N129" s="1">
        <v>6.6</v>
      </c>
      <c r="O129" s="1">
        <v>9.2</v>
      </c>
      <c r="P129" s="1">
        <v>10.2</v>
      </c>
      <c r="Q129" s="1">
        <v>0.8</v>
      </c>
      <c r="R129" s="1">
        <v>20.3</v>
      </c>
      <c r="S129" s="1">
        <v>5.5</v>
      </c>
      <c r="T129" s="1">
        <v>45.7</v>
      </c>
      <c r="U129" s="1">
        <v>0.5</v>
      </c>
      <c r="V129" s="1">
        <v>0.8</v>
      </c>
      <c r="W129" s="1">
        <v>1.2</v>
      </c>
      <c r="X129" s="1">
        <f t="array" ref="X129:AR129">XLOOKUP(MID(A129, SEARCH("+++", A129) + 3, LEN(A129)),'Defensive Data'!$A$2:$A$134,'Defensive Data'!$D$2:$X$134)</f>
        <v>16.8</v>
      </c>
      <c r="Y129" s="1">
        <v>28.9</v>
      </c>
      <c r="Z129" s="1">
        <v>58.2</v>
      </c>
      <c r="AA129" s="1">
        <v>177.7</v>
      </c>
      <c r="AB129" s="1">
        <v>0.9</v>
      </c>
      <c r="AC129" s="1">
        <v>32.6</v>
      </c>
      <c r="AD129" s="1">
        <v>145.8</v>
      </c>
      <c r="AE129" s="1">
        <v>4.5</v>
      </c>
      <c r="AF129" s="1">
        <v>1.4</v>
      </c>
      <c r="AG129" s="1">
        <v>61.4</v>
      </c>
      <c r="AH129" s="1">
        <v>323.5</v>
      </c>
      <c r="AI129" s="1">
        <v>5.3</v>
      </c>
      <c r="AJ129" s="1">
        <v>8.2</v>
      </c>
      <c r="AK129" s="1">
        <v>7.3</v>
      </c>
      <c r="AL129" s="1">
        <v>1.9</v>
      </c>
      <c r="AM129" s="1">
        <v>17.4</v>
      </c>
      <c r="AN129" s="1">
        <v>5.7</v>
      </c>
      <c r="AO129" s="1">
        <v>46.6</v>
      </c>
      <c r="AP129" s="1">
        <v>0.6</v>
      </c>
      <c r="AQ129" s="1">
        <v>1.0</v>
      </c>
      <c r="AR129" s="1">
        <v>1.6</v>
      </c>
    </row>
    <row r="130" ht="15.75" customHeight="1">
      <c r="A130" s="1" t="str">
        <f>CONCATENATE(Scores!A130,"+++",Scores!C130)</f>
        <v>Liberty+++New Mexico State</v>
      </c>
      <c r="B130" s="1">
        <f>Scores!B130</f>
        <v>30</v>
      </c>
      <c r="C130" s="1">
        <f t="array" ref="C130:W130">XLOOKUP(LEFT(A130,SEARCH("+",A130)-1),'Offensive Data'!$A$2:$A$134,'Offensive Data'!$D$2:$X$134)</f>
        <v>13.1</v>
      </c>
      <c r="D130" s="1">
        <v>24.1</v>
      </c>
      <c r="E130" s="1">
        <v>54.3</v>
      </c>
      <c r="F130" s="1">
        <v>167.8</v>
      </c>
      <c r="G130" s="1">
        <v>1.3</v>
      </c>
      <c r="H130" s="1">
        <v>45.2</v>
      </c>
      <c r="I130" s="1">
        <v>250.7</v>
      </c>
      <c r="J130" s="1">
        <v>5.5</v>
      </c>
      <c r="K130" s="1">
        <v>2.3</v>
      </c>
      <c r="L130" s="1">
        <v>69.3</v>
      </c>
      <c r="M130" s="1">
        <v>418.5</v>
      </c>
      <c r="N130" s="1">
        <v>6.0</v>
      </c>
      <c r="O130" s="1">
        <v>7.5</v>
      </c>
      <c r="P130" s="1">
        <v>13.8</v>
      </c>
      <c r="Q130" s="1">
        <v>1.8</v>
      </c>
      <c r="R130" s="1">
        <v>23.1</v>
      </c>
      <c r="S130" s="1">
        <v>6.8</v>
      </c>
      <c r="T130" s="1">
        <v>66.1</v>
      </c>
      <c r="U130" s="1">
        <v>0.9</v>
      </c>
      <c r="V130" s="1">
        <v>0.6</v>
      </c>
      <c r="W130" s="1">
        <v>1.5</v>
      </c>
      <c r="X130" s="1">
        <f t="array" ref="X130:AR130">XLOOKUP(MID(A130, SEARCH("+++", A130) + 3, LEN(A130)),'Defensive Data'!$A$2:$A$134,'Defensive Data'!$D$2:$X$134)</f>
        <v>18.3</v>
      </c>
      <c r="Y130" s="1">
        <v>31.8</v>
      </c>
      <c r="Z130" s="1">
        <v>57.7</v>
      </c>
      <c r="AA130" s="1">
        <v>251.6</v>
      </c>
      <c r="AB130" s="1">
        <v>1.8</v>
      </c>
      <c r="AC130" s="1">
        <v>38.3</v>
      </c>
      <c r="AD130" s="1">
        <v>195.3</v>
      </c>
      <c r="AE130" s="1">
        <v>5.1</v>
      </c>
      <c r="AF130" s="1">
        <v>2.4</v>
      </c>
      <c r="AG130" s="1">
        <v>70.0</v>
      </c>
      <c r="AH130" s="1">
        <v>446.8</v>
      </c>
      <c r="AI130" s="1">
        <v>6.4</v>
      </c>
      <c r="AJ130" s="1">
        <v>10.3</v>
      </c>
      <c r="AK130" s="1">
        <v>9.3</v>
      </c>
      <c r="AL130" s="1">
        <v>1.6</v>
      </c>
      <c r="AM130" s="1">
        <v>21.3</v>
      </c>
      <c r="AN130" s="1">
        <v>7.0</v>
      </c>
      <c r="AO130" s="1">
        <v>75.6</v>
      </c>
      <c r="AP130" s="1">
        <v>0.1</v>
      </c>
      <c r="AQ130" s="1">
        <v>0.8</v>
      </c>
      <c r="AR130" s="1">
        <v>0.8</v>
      </c>
    </row>
    <row r="131" ht="15.75" customHeight="1">
      <c r="A131" s="1" t="str">
        <f>CONCATENATE(Scores!A131,"+++",Scores!C131)</f>
        <v>Louisiana+++Kennesaw State</v>
      </c>
      <c r="B131" s="1">
        <f>Scores!B131</f>
        <v>34</v>
      </c>
      <c r="C131" s="1">
        <f t="array" ref="C131:W131">XLOOKUP(LEFT(A131,SEARCH("+",A131)-1),'Offensive Data'!$A$2:$A$134,'Offensive Data'!$D$2:$X$134)</f>
        <v>19.2</v>
      </c>
      <c r="D131" s="1">
        <v>29.4</v>
      </c>
      <c r="E131" s="1">
        <v>65.3</v>
      </c>
      <c r="F131" s="1">
        <v>248.7</v>
      </c>
      <c r="G131" s="1">
        <v>1.6</v>
      </c>
      <c r="H131" s="1">
        <v>34.6</v>
      </c>
      <c r="I131" s="1">
        <v>166.4</v>
      </c>
      <c r="J131" s="1">
        <v>4.8</v>
      </c>
      <c r="K131" s="1">
        <v>1.9</v>
      </c>
      <c r="L131" s="1">
        <v>64.0</v>
      </c>
      <c r="M131" s="1">
        <v>415.1</v>
      </c>
      <c r="N131" s="1">
        <v>6.5</v>
      </c>
      <c r="O131" s="1">
        <v>10.7</v>
      </c>
      <c r="P131" s="1">
        <v>8.1</v>
      </c>
      <c r="Q131" s="1">
        <v>1.9</v>
      </c>
      <c r="R131" s="1">
        <v>20.7</v>
      </c>
      <c r="S131" s="1">
        <v>5.9</v>
      </c>
      <c r="T131" s="1">
        <v>48.8</v>
      </c>
      <c r="U131" s="1">
        <v>0.1</v>
      </c>
      <c r="V131" s="1">
        <v>0.6</v>
      </c>
      <c r="W131" s="1">
        <v>0.8</v>
      </c>
      <c r="X131" s="1">
        <f t="array" ref="X131:AR131">XLOOKUP(MID(A131, SEARCH("+++", A131) + 3, LEN(A131)),'Defensive Data'!$A$2:$A$134,'Defensive Data'!$D$2:$X$134)</f>
        <v>20.3</v>
      </c>
      <c r="Y131" s="1">
        <v>30.1</v>
      </c>
      <c r="Z131" s="1">
        <v>67.3</v>
      </c>
      <c r="AA131" s="1">
        <v>236.8</v>
      </c>
      <c r="AB131" s="1">
        <v>1.8</v>
      </c>
      <c r="AC131" s="1">
        <v>38.2</v>
      </c>
      <c r="AD131" s="1">
        <v>175.9</v>
      </c>
      <c r="AE131" s="1">
        <v>4.6</v>
      </c>
      <c r="AF131" s="1">
        <v>2.1</v>
      </c>
      <c r="AG131" s="1">
        <v>68.3</v>
      </c>
      <c r="AH131" s="1">
        <v>412.7</v>
      </c>
      <c r="AI131" s="1">
        <v>6.0</v>
      </c>
      <c r="AJ131" s="1">
        <v>9.8</v>
      </c>
      <c r="AK131" s="1">
        <v>9.9</v>
      </c>
      <c r="AL131" s="1">
        <v>1.4</v>
      </c>
      <c r="AM131" s="1">
        <v>21.1</v>
      </c>
      <c r="AN131" s="1">
        <v>5.3</v>
      </c>
      <c r="AO131" s="1">
        <v>50.5</v>
      </c>
      <c r="AP131" s="1">
        <v>0.7</v>
      </c>
      <c r="AQ131" s="1">
        <v>0.3</v>
      </c>
      <c r="AR131" s="1">
        <v>1.0</v>
      </c>
    </row>
    <row r="132" ht="15.75" customHeight="1">
      <c r="A132" s="1" t="str">
        <f>CONCATENATE(Scores!A132,"+++",Scores!C132)</f>
        <v>Louisiana State+++Nicholls State</v>
      </c>
      <c r="B132" s="1">
        <f>Scores!B132</f>
        <v>44</v>
      </c>
      <c r="C132" s="1" t="str">
        <f t="array" ref="C132">XLOOKUP(LEFT(A132,SEARCH("+",A132)-1),'Offensive Data'!$A$2:$A$134,'Offensive Data'!$D$2:$X$134)</f>
        <v>#N/A</v>
      </c>
      <c r="X132" s="1" t="str">
        <f t="array" ref="X132">XLOOKUP(MID(A132, SEARCH("+++", A132) + 3, LEN(A132)),'Defensive Data'!$A$2:$A$134,'Defensive Data'!$D$2:$X$134)</f>
        <v>#N/A</v>
      </c>
    </row>
    <row r="133" ht="15.75" customHeight="1">
      <c r="A133" s="1" t="str">
        <f>CONCATENATE(Scores!A133,"+++",Scores!C133)</f>
        <v>Louisiana-Monroe+++Alabama-Birmingham</v>
      </c>
      <c r="B133" s="1">
        <f>Scores!B133</f>
        <v>32</v>
      </c>
      <c r="C133" s="1">
        <f t="array" ref="C133:W133">XLOOKUP(LEFT(A133,SEARCH("+",A133)-1),'Offensive Data'!$A$2:$A$134,'Offensive Data'!$D$2:$X$134)</f>
        <v>11.2</v>
      </c>
      <c r="D133" s="1">
        <v>20.5</v>
      </c>
      <c r="E133" s="1">
        <v>54.5</v>
      </c>
      <c r="F133" s="1">
        <v>134.8</v>
      </c>
      <c r="G133" s="1">
        <v>0.9</v>
      </c>
      <c r="H133" s="1">
        <v>38.0</v>
      </c>
      <c r="I133" s="1">
        <v>169.7</v>
      </c>
      <c r="J133" s="1">
        <v>4.5</v>
      </c>
      <c r="K133" s="1">
        <v>1.4</v>
      </c>
      <c r="L133" s="1">
        <v>58.5</v>
      </c>
      <c r="M133" s="1">
        <v>304.4</v>
      </c>
      <c r="N133" s="1">
        <v>5.2</v>
      </c>
      <c r="O133" s="1">
        <v>5.6</v>
      </c>
      <c r="P133" s="1">
        <v>8.3</v>
      </c>
      <c r="Q133" s="1">
        <v>1.6</v>
      </c>
      <c r="R133" s="1">
        <v>15.4</v>
      </c>
      <c r="S133" s="1">
        <v>5.9</v>
      </c>
      <c r="T133" s="1">
        <v>43.3</v>
      </c>
      <c r="U133" s="1">
        <v>0.3</v>
      </c>
      <c r="V133" s="1">
        <v>1.0</v>
      </c>
      <c r="W133" s="1">
        <v>1.3</v>
      </c>
      <c r="X133" s="1" t="str">
        <f t="array" ref="X133">XLOOKUP(MID(A133, SEARCH("+++", A133) + 3, LEN(A133)),'Defensive Data'!$A$2:$A$134,'Defensive Data'!$D$2:$X$134)</f>
        <v>#N/A</v>
      </c>
    </row>
    <row r="134" ht="15.75" customHeight="1">
      <c r="A134" s="1" t="str">
        <f>CONCATENATE(Scores!A134,"+++",Scores!C134)</f>
        <v>Louisville+++Jacksonville State</v>
      </c>
      <c r="B134" s="1">
        <f>Scores!B134</f>
        <v>49</v>
      </c>
      <c r="C134" s="1">
        <f t="array" ref="C134:W134">XLOOKUP(LEFT(A134,SEARCH("+",A134)-1),'Offensive Data'!$A$2:$A$134,'Offensive Data'!$D$2:$X$134)</f>
        <v>20.8</v>
      </c>
      <c r="D134" s="1">
        <v>32.8</v>
      </c>
      <c r="E134" s="1">
        <v>63.5</v>
      </c>
      <c r="F134" s="1">
        <v>264.1</v>
      </c>
      <c r="G134" s="1">
        <v>2.0</v>
      </c>
      <c r="H134" s="1">
        <v>32.8</v>
      </c>
      <c r="I134" s="1">
        <v>185.2</v>
      </c>
      <c r="J134" s="1">
        <v>5.7</v>
      </c>
      <c r="K134" s="1">
        <v>2.2</v>
      </c>
      <c r="L134" s="1">
        <v>65.6</v>
      </c>
      <c r="M134" s="1">
        <v>449.2</v>
      </c>
      <c r="N134" s="1">
        <v>6.8</v>
      </c>
      <c r="O134" s="1">
        <v>11.2</v>
      </c>
      <c r="P134" s="1">
        <v>8.5</v>
      </c>
      <c r="Q134" s="1">
        <v>1.5</v>
      </c>
      <c r="R134" s="1">
        <v>21.2</v>
      </c>
      <c r="S134" s="1">
        <v>6.2</v>
      </c>
      <c r="T134" s="1">
        <v>49.4</v>
      </c>
      <c r="U134" s="1">
        <v>0.4</v>
      </c>
      <c r="V134" s="1">
        <v>0.5</v>
      </c>
      <c r="W134" s="1">
        <v>0.8</v>
      </c>
      <c r="X134" s="1">
        <f t="array" ref="X134:AR134">XLOOKUP(MID(A134, SEARCH("+++", A134) + 3, LEN(A134)),'Defensive Data'!$A$2:$A$134,'Defensive Data'!$D$2:$X$134)</f>
        <v>17.6</v>
      </c>
      <c r="Y134" s="1">
        <v>29.3</v>
      </c>
      <c r="Z134" s="1">
        <v>60.2</v>
      </c>
      <c r="AA134" s="1">
        <v>218.2</v>
      </c>
      <c r="AB134" s="1">
        <v>1.5</v>
      </c>
      <c r="AC134" s="1">
        <v>41.0</v>
      </c>
      <c r="AD134" s="1">
        <v>174.8</v>
      </c>
      <c r="AE134" s="1">
        <v>4.3</v>
      </c>
      <c r="AF134" s="1">
        <v>1.5</v>
      </c>
      <c r="AG134" s="1">
        <v>70.3</v>
      </c>
      <c r="AH134" s="1">
        <v>393.0</v>
      </c>
      <c r="AI134" s="1">
        <v>5.6</v>
      </c>
      <c r="AJ134" s="1">
        <v>10.1</v>
      </c>
      <c r="AK134" s="1">
        <v>9.1</v>
      </c>
      <c r="AL134" s="1">
        <v>2.5</v>
      </c>
      <c r="AM134" s="1">
        <v>21.7</v>
      </c>
      <c r="AN134" s="1">
        <v>6.1</v>
      </c>
      <c r="AO134" s="1">
        <v>56.9</v>
      </c>
      <c r="AP134" s="1">
        <v>0.9</v>
      </c>
      <c r="AQ134" s="1">
        <v>0.9</v>
      </c>
      <c r="AR134" s="1">
        <v>1.7</v>
      </c>
    </row>
    <row r="135" ht="15.75" customHeight="1">
      <c r="A135" s="1" t="str">
        <f>CONCATENATE(Scores!A135,"+++",Scores!C135)</f>
        <v>Memphis+++Troy</v>
      </c>
      <c r="B135" s="1">
        <f>Scores!B135</f>
        <v>38</v>
      </c>
      <c r="C135" s="1">
        <f t="array" ref="C135:W135">XLOOKUP(LEFT(A135,SEARCH("+",A135)-1),'Offensive Data'!$A$2:$A$134,'Offensive Data'!$D$2:$X$134)</f>
        <v>23.8</v>
      </c>
      <c r="D135" s="1">
        <v>36.8</v>
      </c>
      <c r="E135" s="1">
        <v>64.7</v>
      </c>
      <c r="F135" s="1">
        <v>270.5</v>
      </c>
      <c r="G135" s="1">
        <v>1.9</v>
      </c>
      <c r="H135" s="1">
        <v>34.5</v>
      </c>
      <c r="I135" s="1">
        <v>174.1</v>
      </c>
      <c r="J135" s="1">
        <v>5.1</v>
      </c>
      <c r="K135" s="1">
        <v>2.5</v>
      </c>
      <c r="L135" s="1">
        <v>71.3</v>
      </c>
      <c r="M135" s="1">
        <v>444.5</v>
      </c>
      <c r="N135" s="1">
        <v>6.2</v>
      </c>
      <c r="O135" s="1">
        <v>11.5</v>
      </c>
      <c r="P135" s="1">
        <v>9.4</v>
      </c>
      <c r="Q135" s="1">
        <v>2.2</v>
      </c>
      <c r="R135" s="1">
        <v>23.1</v>
      </c>
      <c r="S135" s="1">
        <v>5.3</v>
      </c>
      <c r="T135" s="1">
        <v>48.0</v>
      </c>
      <c r="U135" s="1">
        <v>0.2</v>
      </c>
      <c r="V135" s="1">
        <v>0.5</v>
      </c>
      <c r="W135" s="1">
        <v>0.6</v>
      </c>
      <c r="X135" s="1">
        <f t="array" ref="X135:AR135">XLOOKUP(MID(A135, SEARCH("+++", A135) + 3, LEN(A135)),'Defensive Data'!$A$2:$A$134,'Defensive Data'!$D$2:$X$134)</f>
        <v>18.5</v>
      </c>
      <c r="Y135" s="1">
        <v>27.7</v>
      </c>
      <c r="Z135" s="1">
        <v>66.9</v>
      </c>
      <c r="AA135" s="1">
        <v>221.6</v>
      </c>
      <c r="AB135" s="1">
        <v>1.1</v>
      </c>
      <c r="AC135" s="1">
        <v>33.8</v>
      </c>
      <c r="AD135" s="1">
        <v>145.3</v>
      </c>
      <c r="AE135" s="1">
        <v>4.3</v>
      </c>
      <c r="AF135" s="1">
        <v>2.0</v>
      </c>
      <c r="AG135" s="1">
        <v>61.4</v>
      </c>
      <c r="AH135" s="1">
        <v>366.9</v>
      </c>
      <c r="AI135" s="1">
        <v>6.0</v>
      </c>
      <c r="AJ135" s="1">
        <v>8.9</v>
      </c>
      <c r="AK135" s="1">
        <v>7.3</v>
      </c>
      <c r="AL135" s="1">
        <v>2.9</v>
      </c>
      <c r="AM135" s="1">
        <v>19.2</v>
      </c>
      <c r="AN135" s="1">
        <v>5.8</v>
      </c>
      <c r="AO135" s="1">
        <v>51.9</v>
      </c>
      <c r="AP135" s="1">
        <v>0.3</v>
      </c>
      <c r="AQ135" s="1">
        <v>0.5</v>
      </c>
      <c r="AR135" s="1">
        <v>0.8</v>
      </c>
    </row>
    <row r="136" ht="15.75" customHeight="1">
      <c r="A136" s="1" t="str">
        <f>CONCATENATE(Scores!A136,"+++",Scores!C136)</f>
        <v>Miami (FL)+++Florida A&amp;M</v>
      </c>
      <c r="B136" s="1">
        <f>Scores!B136</f>
        <v>56</v>
      </c>
      <c r="C136" s="1">
        <f t="array" ref="C136:W136">XLOOKUP(LEFT(A136,SEARCH("+",A136)-1),'Offensive Data'!$A$2:$A$134,'Offensive Data'!$D$2:$X$134)</f>
        <v>25.2</v>
      </c>
      <c r="D136" s="1">
        <v>37.6</v>
      </c>
      <c r="E136" s="1">
        <v>67.1</v>
      </c>
      <c r="F136" s="1">
        <v>348.2</v>
      </c>
      <c r="G136" s="1">
        <v>3.2</v>
      </c>
      <c r="H136" s="1">
        <v>33.3</v>
      </c>
      <c r="I136" s="1">
        <v>188.9</v>
      </c>
      <c r="J136" s="1">
        <v>5.7</v>
      </c>
      <c r="K136" s="1">
        <v>2.3</v>
      </c>
      <c r="L136" s="1">
        <v>70.9</v>
      </c>
      <c r="M136" s="1">
        <v>537.2</v>
      </c>
      <c r="N136" s="1">
        <v>7.6</v>
      </c>
      <c r="O136" s="1">
        <v>15.0</v>
      </c>
      <c r="P136" s="1">
        <v>10.3</v>
      </c>
      <c r="Q136" s="1">
        <v>1.7</v>
      </c>
      <c r="R136" s="1">
        <v>27.0</v>
      </c>
      <c r="S136" s="1">
        <v>6.6</v>
      </c>
      <c r="T136" s="1">
        <v>67.5</v>
      </c>
      <c r="U136" s="1">
        <v>0.6</v>
      </c>
      <c r="V136" s="1">
        <v>0.6</v>
      </c>
      <c r="W136" s="1">
        <v>1.2</v>
      </c>
      <c r="X136" s="1" t="str">
        <f t="array" ref="X136">XLOOKUP(MID(A136, SEARCH("+++", A136) + 3, LEN(A136)),'Defensive Data'!$A$2:$A$134,'Defensive Data'!$D$2:$X$134)</f>
        <v>#N/A</v>
      </c>
    </row>
    <row r="137" ht="15.75" customHeight="1">
      <c r="A137" s="1" t="str">
        <f>CONCATENATE(Scores!A137,"+++",Scores!C137)</f>
        <v>Michigan State+++Maryland</v>
      </c>
      <c r="B137" s="1">
        <f>Scores!B137</f>
        <v>27</v>
      </c>
      <c r="C137" s="1">
        <f t="array" ref="C137:W137">XLOOKUP(LEFT(A137,SEARCH("+",A137)-1),'Offensive Data'!$A$2:$A$134,'Offensive Data'!$D$2:$X$134)</f>
        <v>17.7</v>
      </c>
      <c r="D137" s="1">
        <v>29.4</v>
      </c>
      <c r="E137" s="1">
        <v>60.1</v>
      </c>
      <c r="F137" s="1">
        <v>218.1</v>
      </c>
      <c r="G137" s="1">
        <v>1.1</v>
      </c>
      <c r="H137" s="1">
        <v>32.8</v>
      </c>
      <c r="I137" s="1">
        <v>116.3</v>
      </c>
      <c r="J137" s="1">
        <v>3.6</v>
      </c>
      <c r="K137" s="1">
        <v>0.9</v>
      </c>
      <c r="L137" s="1">
        <v>62.2</v>
      </c>
      <c r="M137" s="1">
        <v>334.4</v>
      </c>
      <c r="N137" s="1">
        <v>5.4</v>
      </c>
      <c r="O137" s="1">
        <v>9.2</v>
      </c>
      <c r="P137" s="1">
        <v>8.3</v>
      </c>
      <c r="Q137" s="1">
        <v>1.4</v>
      </c>
      <c r="R137" s="1">
        <v>18.8</v>
      </c>
      <c r="S137" s="1">
        <v>6.7</v>
      </c>
      <c r="T137" s="1">
        <v>63.3</v>
      </c>
      <c r="U137" s="1">
        <v>0.6</v>
      </c>
      <c r="V137" s="1">
        <v>1.0</v>
      </c>
      <c r="W137" s="1">
        <v>1.6</v>
      </c>
      <c r="X137" s="1">
        <f t="array" ref="X137:AR137">XLOOKUP(MID(A137, SEARCH("+++", A137) + 3, LEN(A137)),'Defensive Data'!$A$2:$A$134,'Defensive Data'!$D$2:$X$134)</f>
        <v>20</v>
      </c>
      <c r="Y137" s="1">
        <v>32.0</v>
      </c>
      <c r="Z137" s="1">
        <v>62.5</v>
      </c>
      <c r="AA137" s="1">
        <v>241.3</v>
      </c>
      <c r="AB137" s="1">
        <v>1.8</v>
      </c>
      <c r="AC137" s="1">
        <v>35.6</v>
      </c>
      <c r="AD137" s="1">
        <v>136.8</v>
      </c>
      <c r="AE137" s="1">
        <v>3.8</v>
      </c>
      <c r="AF137" s="1">
        <v>1.6</v>
      </c>
      <c r="AG137" s="1">
        <v>67.6</v>
      </c>
      <c r="AH137" s="1">
        <v>378.1</v>
      </c>
      <c r="AI137" s="1">
        <v>5.6</v>
      </c>
      <c r="AJ137" s="1">
        <v>10.5</v>
      </c>
      <c r="AK137" s="1">
        <v>8.2</v>
      </c>
      <c r="AL137" s="1">
        <v>2.3</v>
      </c>
      <c r="AM137" s="1">
        <v>21.0</v>
      </c>
      <c r="AN137" s="1">
        <v>6.0</v>
      </c>
      <c r="AO137" s="1">
        <v>52.8</v>
      </c>
      <c r="AP137" s="1">
        <v>0.7</v>
      </c>
      <c r="AQ137" s="1">
        <v>0.8</v>
      </c>
      <c r="AR137" s="1">
        <v>1.4</v>
      </c>
    </row>
    <row r="138" ht="15.75" customHeight="1">
      <c r="A138" s="1" t="str">
        <f>CONCATENATE(Scores!A138,"+++",Scores!C138)</f>
        <v>Minnesota+++Rhode Island</v>
      </c>
      <c r="B138" s="1">
        <f>Scores!B138</f>
        <v>48</v>
      </c>
      <c r="C138" s="1">
        <f t="array" ref="C138:W138">XLOOKUP(LEFT(A138,SEARCH("+",A138)-1),'Offensive Data'!$A$2:$A$134,'Offensive Data'!$D$2:$X$134)</f>
        <v>21</v>
      </c>
      <c r="D138" s="1">
        <v>31.7</v>
      </c>
      <c r="E138" s="1">
        <v>66.3</v>
      </c>
      <c r="F138" s="1">
        <v>222.2</v>
      </c>
      <c r="G138" s="1">
        <v>1.5</v>
      </c>
      <c r="H138" s="1">
        <v>31.1</v>
      </c>
      <c r="I138" s="1">
        <v>115.6</v>
      </c>
      <c r="J138" s="1">
        <v>3.7</v>
      </c>
      <c r="K138" s="1">
        <v>1.4</v>
      </c>
      <c r="L138" s="1">
        <v>62.8</v>
      </c>
      <c r="M138" s="1">
        <v>337.8</v>
      </c>
      <c r="N138" s="1">
        <v>5.4</v>
      </c>
      <c r="O138" s="1">
        <v>11.0</v>
      </c>
      <c r="P138" s="1">
        <v>7.2</v>
      </c>
      <c r="Q138" s="1">
        <v>2.2</v>
      </c>
      <c r="R138" s="1">
        <v>20.4</v>
      </c>
      <c r="S138" s="1">
        <v>4.8</v>
      </c>
      <c r="T138" s="1">
        <v>37.5</v>
      </c>
      <c r="U138" s="1">
        <v>0.5</v>
      </c>
      <c r="V138" s="1">
        <v>0.5</v>
      </c>
      <c r="W138" s="1">
        <v>0.9</v>
      </c>
      <c r="X138" s="1" t="str">
        <f t="array" ref="X138">XLOOKUP(MID(A138, SEARCH("+++", A138) + 3, LEN(A138)),'Defensive Data'!$A$2:$A$134,'Defensive Data'!$D$2:$X$134)</f>
        <v>#N/A</v>
      </c>
    </row>
    <row r="139" ht="15.75" customHeight="1">
      <c r="A139" s="1" t="str">
        <f>CONCATENATE(Scores!A139,"+++",Scores!C139)</f>
        <v>Mississippi+++Middle Tennessee State</v>
      </c>
      <c r="B139" s="1">
        <f>Scores!B139</f>
        <v>52</v>
      </c>
      <c r="C139" s="1" t="str">
        <f t="array" ref="C139">XLOOKUP(LEFT(A139,SEARCH("+",A139)-1),'Offensive Data'!$A$2:$A$134,'Offensive Data'!$D$2:$X$134)</f>
        <v>#N/A</v>
      </c>
      <c r="X139" s="1">
        <f t="array" ref="X139:AR139">XLOOKUP(MID(A139, SEARCH("+++", A139) + 3, LEN(A139)),'Defensive Data'!$A$2:$A$134,'Defensive Data'!$D$2:$X$134)</f>
        <v>19.3</v>
      </c>
      <c r="Y139" s="1">
        <v>28.6</v>
      </c>
      <c r="Z139" s="1">
        <v>67.3</v>
      </c>
      <c r="AA139" s="1">
        <v>252.2</v>
      </c>
      <c r="AB139" s="1">
        <v>2.3</v>
      </c>
      <c r="AC139" s="1">
        <v>38.8</v>
      </c>
      <c r="AD139" s="1">
        <v>197.0</v>
      </c>
      <c r="AE139" s="1">
        <v>5.1</v>
      </c>
      <c r="AF139" s="1">
        <v>2.2</v>
      </c>
      <c r="AG139" s="1">
        <v>67.3</v>
      </c>
      <c r="AH139" s="1">
        <v>449.2</v>
      </c>
      <c r="AI139" s="1">
        <v>6.7</v>
      </c>
      <c r="AJ139" s="1">
        <v>11.6</v>
      </c>
      <c r="AK139" s="1">
        <v>10.3</v>
      </c>
      <c r="AL139" s="1">
        <v>1.5</v>
      </c>
      <c r="AM139" s="1">
        <v>23.4</v>
      </c>
      <c r="AN139" s="1">
        <v>5.5</v>
      </c>
      <c r="AO139" s="1">
        <v>50.9</v>
      </c>
      <c r="AP139" s="1">
        <v>0.4</v>
      </c>
      <c r="AQ139" s="1">
        <v>0.4</v>
      </c>
      <c r="AR139" s="1">
        <v>0.8</v>
      </c>
    </row>
    <row r="140" ht="15.75" customHeight="1">
      <c r="A140" s="1" t="str">
        <f>CONCATENATE(Scores!A140,"+++",Scores!C140)</f>
        <v>Missouri+++Buffalo</v>
      </c>
      <c r="B140" s="1">
        <f>Scores!B140</f>
        <v>38</v>
      </c>
      <c r="C140" s="1">
        <f t="array" ref="C140:W140">XLOOKUP(LEFT(A140,SEARCH("+",A140)-1),'Offensive Data'!$A$2:$A$134,'Offensive Data'!$D$2:$X$134)</f>
        <v>19.2</v>
      </c>
      <c r="D140" s="1">
        <v>31.1</v>
      </c>
      <c r="E140" s="1">
        <v>61.9</v>
      </c>
      <c r="F140" s="1">
        <v>225.1</v>
      </c>
      <c r="G140" s="1">
        <v>1.1</v>
      </c>
      <c r="H140" s="1">
        <v>39.8</v>
      </c>
      <c r="I140" s="1">
        <v>164.5</v>
      </c>
      <c r="J140" s="1">
        <v>4.1</v>
      </c>
      <c r="K140" s="1">
        <v>2.0</v>
      </c>
      <c r="L140" s="1">
        <v>70.9</v>
      </c>
      <c r="M140" s="1">
        <v>389.5</v>
      </c>
      <c r="N140" s="1">
        <v>5.5</v>
      </c>
      <c r="O140" s="1">
        <v>9.2</v>
      </c>
      <c r="P140" s="1">
        <v>10.5</v>
      </c>
      <c r="Q140" s="1">
        <v>1.5</v>
      </c>
      <c r="R140" s="1">
        <v>21.2</v>
      </c>
      <c r="S140" s="1">
        <v>5.6</v>
      </c>
      <c r="T140" s="1">
        <v>50.6</v>
      </c>
      <c r="U140" s="1">
        <v>0.3</v>
      </c>
      <c r="V140" s="1">
        <v>0.4</v>
      </c>
      <c r="W140" s="1">
        <v>0.7</v>
      </c>
      <c r="X140" s="1">
        <f t="array" ref="X140:AR140">XLOOKUP(MID(A140, SEARCH("+++", A140) + 3, LEN(A140)),'Defensive Data'!$A$2:$A$134,'Defensive Data'!$D$2:$X$134)</f>
        <v>20.7</v>
      </c>
      <c r="Y140" s="1">
        <v>33.8</v>
      </c>
      <c r="Z140" s="1">
        <v>61.3</v>
      </c>
      <c r="AA140" s="1">
        <v>245.2</v>
      </c>
      <c r="AB140" s="1">
        <v>1.9</v>
      </c>
      <c r="AC140" s="1">
        <v>35.9</v>
      </c>
      <c r="AD140" s="1">
        <v>146.6</v>
      </c>
      <c r="AE140" s="1">
        <v>4.1</v>
      </c>
      <c r="AF140" s="1">
        <v>1.3</v>
      </c>
      <c r="AG140" s="1">
        <v>69.7</v>
      </c>
      <c r="AH140" s="1">
        <v>391.8</v>
      </c>
      <c r="AI140" s="1">
        <v>5.6</v>
      </c>
      <c r="AJ140" s="1">
        <v>11.1</v>
      </c>
      <c r="AK140" s="1">
        <v>7.5</v>
      </c>
      <c r="AL140" s="1">
        <v>1.7</v>
      </c>
      <c r="AM140" s="1">
        <v>20.2</v>
      </c>
      <c r="AN140" s="1">
        <v>4.7</v>
      </c>
      <c r="AO140" s="1">
        <v>39.5</v>
      </c>
      <c r="AP140" s="1">
        <v>0.7</v>
      </c>
      <c r="AQ140" s="1">
        <v>1.0</v>
      </c>
      <c r="AR140" s="1">
        <v>1.7</v>
      </c>
    </row>
    <row r="141" ht="15.75" customHeight="1">
      <c r="A141" s="1" t="str">
        <f>CONCATENATE(Scores!A141,"+++",Scores!C141)</f>
        <v>Navy+++Temple</v>
      </c>
      <c r="B141" s="1">
        <f>Scores!B141</f>
        <v>38</v>
      </c>
      <c r="C141" s="1">
        <f t="array" ref="C141:W141">XLOOKUP(LEFT(A141,SEARCH("+",A141)-1),'Offensive Data'!$A$2:$A$134,'Offensive Data'!$D$2:$X$134)</f>
        <v>7.6</v>
      </c>
      <c r="D141" s="1">
        <v>13.8</v>
      </c>
      <c r="E141" s="1">
        <v>55.3</v>
      </c>
      <c r="F141" s="1">
        <v>123.8</v>
      </c>
      <c r="G141" s="1">
        <v>1.2</v>
      </c>
      <c r="H141" s="1">
        <v>45.5</v>
      </c>
      <c r="I141" s="1">
        <v>247.5</v>
      </c>
      <c r="J141" s="1">
        <v>5.4</v>
      </c>
      <c r="K141" s="1">
        <v>2.9</v>
      </c>
      <c r="L141" s="1">
        <v>59.3</v>
      </c>
      <c r="M141" s="1">
        <v>371.3</v>
      </c>
      <c r="N141" s="1">
        <v>6.3</v>
      </c>
      <c r="O141" s="1">
        <v>4.8</v>
      </c>
      <c r="P141" s="1">
        <v>11.4</v>
      </c>
      <c r="Q141" s="1">
        <v>0.8</v>
      </c>
      <c r="R141" s="1">
        <v>17.0</v>
      </c>
      <c r="S141" s="1">
        <v>5.1</v>
      </c>
      <c r="T141" s="1">
        <v>45.0</v>
      </c>
      <c r="U141" s="1">
        <v>0.6</v>
      </c>
      <c r="V141" s="1">
        <v>0.5</v>
      </c>
      <c r="W141" s="1">
        <v>1.1</v>
      </c>
      <c r="X141" s="1">
        <f t="array" ref="X141:AR141">XLOOKUP(MID(A141, SEARCH("+++", A141) + 3, LEN(A141)),'Defensive Data'!$A$2:$A$134,'Defensive Data'!$D$2:$X$134)</f>
        <v>16.3</v>
      </c>
      <c r="Y141" s="1">
        <v>27.8</v>
      </c>
      <c r="Z141" s="1">
        <v>58.9</v>
      </c>
      <c r="AA141" s="1">
        <v>191.7</v>
      </c>
      <c r="AB141" s="1">
        <v>1.7</v>
      </c>
      <c r="AC141" s="1">
        <v>40.8</v>
      </c>
      <c r="AD141" s="1">
        <v>226.1</v>
      </c>
      <c r="AE141" s="1">
        <v>5.5</v>
      </c>
      <c r="AF141" s="1">
        <v>2.5</v>
      </c>
      <c r="AG141" s="1">
        <v>68.6</v>
      </c>
      <c r="AH141" s="1">
        <v>417.8</v>
      </c>
      <c r="AI141" s="1">
        <v>6.1</v>
      </c>
      <c r="AJ141" s="1">
        <v>8.4</v>
      </c>
      <c r="AK141" s="1">
        <v>10.0</v>
      </c>
      <c r="AL141" s="1">
        <v>1.6</v>
      </c>
      <c r="AM141" s="1">
        <v>20.0</v>
      </c>
      <c r="AN141" s="1">
        <v>5.4</v>
      </c>
      <c r="AO141" s="1">
        <v>47.1</v>
      </c>
      <c r="AP141" s="1">
        <v>0.5</v>
      </c>
      <c r="AQ141" s="1">
        <v>0.8</v>
      </c>
      <c r="AR141" s="1">
        <v>1.3</v>
      </c>
    </row>
    <row r="142" ht="15.75" customHeight="1">
      <c r="A142" s="1" t="str">
        <f>CONCATENATE(Scores!A142,"+++",Scores!C142)</f>
        <v>Nebraska+++Colorado</v>
      </c>
      <c r="B142" s="1">
        <f>Scores!B142</f>
        <v>28</v>
      </c>
      <c r="C142" s="1">
        <f t="array" ref="C142:W142">XLOOKUP(LEFT(A142,SEARCH("+",A142)-1),'Offensive Data'!$A$2:$A$134,'Offensive Data'!$D$2:$X$134)</f>
        <v>22.2</v>
      </c>
      <c r="D142" s="1">
        <v>33.5</v>
      </c>
      <c r="E142" s="1">
        <v>66.2</v>
      </c>
      <c r="F142" s="1">
        <v>228.4</v>
      </c>
      <c r="G142" s="1">
        <v>1.0</v>
      </c>
      <c r="H142" s="1">
        <v>34.5</v>
      </c>
      <c r="I142" s="1">
        <v>130.6</v>
      </c>
      <c r="J142" s="1">
        <v>3.8</v>
      </c>
      <c r="K142" s="1">
        <v>1.7</v>
      </c>
      <c r="L142" s="1">
        <v>67.9</v>
      </c>
      <c r="M142" s="1">
        <v>359.0</v>
      </c>
      <c r="N142" s="1">
        <v>5.3</v>
      </c>
      <c r="O142" s="1">
        <v>10.5</v>
      </c>
      <c r="P142" s="1">
        <v>8.4</v>
      </c>
      <c r="Q142" s="1">
        <v>2.8</v>
      </c>
      <c r="R142" s="1">
        <v>21.8</v>
      </c>
      <c r="S142" s="1">
        <v>6.2</v>
      </c>
      <c r="T142" s="1">
        <v>53.2</v>
      </c>
      <c r="U142" s="1">
        <v>0.5</v>
      </c>
      <c r="V142" s="1">
        <v>0.9</v>
      </c>
      <c r="W142" s="1">
        <v>1.5</v>
      </c>
      <c r="X142" s="1">
        <f t="array" ref="X142:AR142">XLOOKUP(MID(A142, SEARCH("+++", A142) + 3, LEN(A142)),'Defensive Data'!$A$2:$A$134,'Defensive Data'!$D$2:$X$134)</f>
        <v>17.6</v>
      </c>
      <c r="Y142" s="1">
        <v>30.2</v>
      </c>
      <c r="Z142" s="1">
        <v>58.3</v>
      </c>
      <c r="AA142" s="1">
        <v>200.5</v>
      </c>
      <c r="AB142" s="1">
        <v>1.2</v>
      </c>
      <c r="AC142" s="1">
        <v>39.2</v>
      </c>
      <c r="AD142" s="1">
        <v>151.4</v>
      </c>
      <c r="AE142" s="1">
        <v>3.9</v>
      </c>
      <c r="AF142" s="1">
        <v>1.3</v>
      </c>
      <c r="AG142" s="1">
        <v>69.4</v>
      </c>
      <c r="AH142" s="1">
        <v>351.9</v>
      </c>
      <c r="AI142" s="1">
        <v>5.1</v>
      </c>
      <c r="AJ142" s="1">
        <v>8.5</v>
      </c>
      <c r="AK142" s="1">
        <v>9.5</v>
      </c>
      <c r="AL142" s="1">
        <v>2.2</v>
      </c>
      <c r="AM142" s="1">
        <v>20.2</v>
      </c>
      <c r="AN142" s="1">
        <v>7.6</v>
      </c>
      <c r="AO142" s="1">
        <v>66.9</v>
      </c>
      <c r="AP142" s="1">
        <v>0.9</v>
      </c>
      <c r="AQ142" s="1">
        <v>1.2</v>
      </c>
      <c r="AR142" s="1">
        <v>2.1</v>
      </c>
    </row>
    <row r="143" ht="15.75" customHeight="1">
      <c r="A143" s="1" t="str">
        <f>CONCATENATE(Scores!A143,"+++",Scores!C143)</f>
        <v>Nevada-Las Vegas+++Utah Tech</v>
      </c>
      <c r="B143" s="1">
        <f>Scores!B143</f>
        <v>72</v>
      </c>
      <c r="C143" s="1" t="str">
        <f t="array" ref="C143">XLOOKUP(LEFT(A143,SEARCH("+",A143)-1),'Offensive Data'!$A$2:$A$134,'Offensive Data'!$D$2:$X$134)</f>
        <v>#N/A</v>
      </c>
      <c r="X143" s="1" t="str">
        <f t="array" ref="X143">XLOOKUP(MID(A143, SEARCH("+++", A143) + 3, LEN(A143)),'Defensive Data'!$A$2:$A$134,'Defensive Data'!$D$2:$X$134)</f>
        <v>#N/A</v>
      </c>
    </row>
    <row r="144" ht="15.75" customHeight="1">
      <c r="A144" s="1" t="str">
        <f>CONCATENATE(Scores!A144,"+++",Scores!C144)</f>
        <v>North Carolina+++Charlotte</v>
      </c>
      <c r="B144" s="1">
        <f>Scores!B144</f>
        <v>38</v>
      </c>
      <c r="C144" s="1">
        <f t="array" ref="C144:W144">XLOOKUP(LEFT(A144,SEARCH("+",A144)-1),'Offensive Data'!$A$2:$A$134,'Offensive Data'!$D$2:$X$134)</f>
        <v>17.7</v>
      </c>
      <c r="D144" s="1">
        <v>30.2</v>
      </c>
      <c r="E144" s="1">
        <v>58.7</v>
      </c>
      <c r="F144" s="1">
        <v>224.4</v>
      </c>
      <c r="G144" s="1">
        <v>1.4</v>
      </c>
      <c r="H144" s="1">
        <v>38.2</v>
      </c>
      <c r="I144" s="1">
        <v>182.3</v>
      </c>
      <c r="J144" s="1">
        <v>4.8</v>
      </c>
      <c r="K144" s="1">
        <v>2.0</v>
      </c>
      <c r="L144" s="1">
        <v>68.3</v>
      </c>
      <c r="M144" s="1">
        <v>406.7</v>
      </c>
      <c r="N144" s="1">
        <v>6.0</v>
      </c>
      <c r="O144" s="1">
        <v>9.4</v>
      </c>
      <c r="P144" s="1">
        <v>9.6</v>
      </c>
      <c r="Q144" s="1">
        <v>2.0</v>
      </c>
      <c r="R144" s="1">
        <v>21.0</v>
      </c>
      <c r="S144" s="1">
        <v>7.5</v>
      </c>
      <c r="T144" s="1">
        <v>64.0</v>
      </c>
      <c r="U144" s="1">
        <v>0.6</v>
      </c>
      <c r="V144" s="1">
        <v>0.7</v>
      </c>
      <c r="W144" s="1">
        <v>1.3</v>
      </c>
      <c r="X144" s="1">
        <f t="array" ref="X144:AR144">XLOOKUP(MID(A144, SEARCH("+++", A144) + 3, LEN(A144)),'Defensive Data'!$A$2:$A$134,'Defensive Data'!$D$2:$X$134)</f>
        <v>17.2</v>
      </c>
      <c r="Y144" s="1">
        <v>28.6</v>
      </c>
      <c r="Z144" s="1">
        <v>60.1</v>
      </c>
      <c r="AA144" s="1">
        <v>222.8</v>
      </c>
      <c r="AB144" s="1">
        <v>1.5</v>
      </c>
      <c r="AC144" s="1">
        <v>40.3</v>
      </c>
      <c r="AD144" s="1">
        <v>210.3</v>
      </c>
      <c r="AE144" s="1">
        <v>5.2</v>
      </c>
      <c r="AF144" s="1">
        <v>2.4</v>
      </c>
      <c r="AG144" s="1">
        <v>68.8</v>
      </c>
      <c r="AH144" s="1">
        <v>433.2</v>
      </c>
      <c r="AI144" s="1">
        <v>6.3</v>
      </c>
      <c r="AJ144" s="1">
        <v>9.2</v>
      </c>
      <c r="AK144" s="1">
        <v>11.5</v>
      </c>
      <c r="AL144" s="1">
        <v>2.4</v>
      </c>
      <c r="AM144" s="1">
        <v>23.1</v>
      </c>
      <c r="AN144" s="1">
        <v>6.6</v>
      </c>
      <c r="AO144" s="1">
        <v>56.8</v>
      </c>
      <c r="AP144" s="1">
        <v>0.2</v>
      </c>
      <c r="AQ144" s="1">
        <v>0.8</v>
      </c>
      <c r="AR144" s="1">
        <v>1.0</v>
      </c>
    </row>
    <row r="145" ht="15.75" customHeight="1">
      <c r="A145" s="1" t="str">
        <f>CONCATENATE(Scores!A145,"+++",Scores!C145)</f>
        <v>North Texas+++Stephen F. Austin</v>
      </c>
      <c r="B145" s="1">
        <f>Scores!B145</f>
        <v>35</v>
      </c>
      <c r="C145" s="1">
        <f t="array" ref="C145:W145">XLOOKUP(LEFT(A145,SEARCH("+",A145)-1),'Offensive Data'!$A$2:$A$134,'Offensive Data'!$D$2:$X$134)</f>
        <v>27.2</v>
      </c>
      <c r="D145" s="1">
        <v>43.2</v>
      </c>
      <c r="E145" s="1">
        <v>62.8</v>
      </c>
      <c r="F145" s="1">
        <v>328.2</v>
      </c>
      <c r="G145" s="1">
        <v>2.5</v>
      </c>
      <c r="H145" s="1">
        <v>29.5</v>
      </c>
      <c r="I145" s="1">
        <v>160.6</v>
      </c>
      <c r="J145" s="1">
        <v>5.4</v>
      </c>
      <c r="K145" s="1">
        <v>1.8</v>
      </c>
      <c r="L145" s="1">
        <v>72.8</v>
      </c>
      <c r="M145" s="1">
        <v>488.8</v>
      </c>
      <c r="N145" s="1">
        <v>6.7</v>
      </c>
      <c r="O145" s="1">
        <v>14.5</v>
      </c>
      <c r="P145" s="1">
        <v>6.7</v>
      </c>
      <c r="Q145" s="1">
        <v>2.6</v>
      </c>
      <c r="R145" s="1">
        <v>23.8</v>
      </c>
      <c r="S145" s="1">
        <v>7.0</v>
      </c>
      <c r="T145" s="1">
        <v>59.5</v>
      </c>
      <c r="U145" s="1">
        <v>0.6</v>
      </c>
      <c r="V145" s="1">
        <v>1.1</v>
      </c>
      <c r="W145" s="1">
        <v>1.7</v>
      </c>
      <c r="X145" s="1" t="str">
        <f t="array" ref="X145">XLOOKUP(MID(A145, SEARCH("+++", A145) + 3, LEN(A145)),'Defensive Data'!$A$2:$A$134,'Defensive Data'!$D$2:$X$134)</f>
        <v>#N/A</v>
      </c>
    </row>
    <row r="146" ht="15.75" customHeight="1">
      <c r="A146" s="1" t="str">
        <f>CONCATENATE(Scores!A146,"+++",Scores!C146)</f>
        <v>Northern Illinois+++Notre Dame</v>
      </c>
      <c r="B146" s="1">
        <f>Scores!B146</f>
        <v>16</v>
      </c>
      <c r="C146" s="1">
        <f t="array" ref="C146:W146">XLOOKUP(LEFT(A146,SEARCH("+",A146)-1),'Offensive Data'!$A$2:$A$134,'Offensive Data'!$D$2:$X$134)</f>
        <v>16.6</v>
      </c>
      <c r="D146" s="1">
        <v>28.5</v>
      </c>
      <c r="E146" s="1">
        <v>58.2</v>
      </c>
      <c r="F146" s="1">
        <v>178.5</v>
      </c>
      <c r="G146" s="1">
        <v>1.2</v>
      </c>
      <c r="H146" s="1">
        <v>43.2</v>
      </c>
      <c r="I146" s="1">
        <v>203.8</v>
      </c>
      <c r="J146" s="1">
        <v>4.7</v>
      </c>
      <c r="K146" s="1">
        <v>1.7</v>
      </c>
      <c r="L146" s="1">
        <v>71.8</v>
      </c>
      <c r="M146" s="1">
        <v>382.2</v>
      </c>
      <c r="N146" s="1">
        <v>5.3</v>
      </c>
      <c r="O146" s="1">
        <v>8.8</v>
      </c>
      <c r="P146" s="1">
        <v>10.5</v>
      </c>
      <c r="Q146" s="1">
        <v>2.1</v>
      </c>
      <c r="R146" s="1">
        <v>21.5</v>
      </c>
      <c r="S146" s="1">
        <v>4.2</v>
      </c>
      <c r="T146" s="1">
        <v>42.8</v>
      </c>
      <c r="U146" s="1">
        <v>0.7</v>
      </c>
      <c r="V146" s="1">
        <v>0.6</v>
      </c>
      <c r="W146" s="1">
        <v>1.3</v>
      </c>
      <c r="X146" s="1">
        <f t="array" ref="X146:AR146">XLOOKUP(MID(A146, SEARCH("+++", A146) + 3, LEN(A146)),'Defensive Data'!$A$2:$A$134,'Defensive Data'!$D$2:$X$134)</f>
        <v>14.7</v>
      </c>
      <c r="Y146" s="1">
        <v>28.2</v>
      </c>
      <c r="Z146" s="1">
        <v>52.1</v>
      </c>
      <c r="AA146" s="1">
        <v>169.4</v>
      </c>
      <c r="AB146" s="1">
        <v>0.9</v>
      </c>
      <c r="AC146" s="1">
        <v>36.5</v>
      </c>
      <c r="AD146" s="1">
        <v>138.1</v>
      </c>
      <c r="AE146" s="1">
        <v>3.8</v>
      </c>
      <c r="AF146" s="1">
        <v>1.0</v>
      </c>
      <c r="AG146" s="1">
        <v>64.7</v>
      </c>
      <c r="AH146" s="1">
        <v>307.4</v>
      </c>
      <c r="AI146" s="1">
        <v>4.8</v>
      </c>
      <c r="AJ146" s="1">
        <v>7.4</v>
      </c>
      <c r="AK146" s="1">
        <v>7.9</v>
      </c>
      <c r="AL146" s="1">
        <v>1.8</v>
      </c>
      <c r="AM146" s="1">
        <v>17.0</v>
      </c>
      <c r="AN146" s="1">
        <v>5.4</v>
      </c>
      <c r="AO146" s="1">
        <v>48.3</v>
      </c>
      <c r="AP146" s="1">
        <v>0.9</v>
      </c>
      <c r="AQ146" s="1">
        <v>1.2</v>
      </c>
      <c r="AR146" s="1">
        <v>2.1</v>
      </c>
    </row>
    <row r="147" ht="15.75" customHeight="1">
      <c r="A147" s="1" t="str">
        <f>CONCATENATE(Scores!A147,"+++",Scores!C147)</f>
        <v>Ohio+++South Alabama</v>
      </c>
      <c r="B147" s="1">
        <f>Scores!B147</f>
        <v>27</v>
      </c>
      <c r="C147" s="1">
        <f t="array" ref="C147:W147">XLOOKUP(LEFT(A147,SEARCH("+",A147)-1),'Offensive Data'!$A$2:$A$134,'Offensive Data'!$D$2:$X$134)</f>
        <v>15.5</v>
      </c>
      <c r="D147" s="1">
        <v>24.6</v>
      </c>
      <c r="E147" s="1">
        <v>62.9</v>
      </c>
      <c r="F147" s="1">
        <v>192.4</v>
      </c>
      <c r="G147" s="1">
        <v>1.1</v>
      </c>
      <c r="H147" s="1">
        <v>41.0</v>
      </c>
      <c r="I147" s="1">
        <v>213.1</v>
      </c>
      <c r="J147" s="1">
        <v>5.2</v>
      </c>
      <c r="K147" s="1">
        <v>2.5</v>
      </c>
      <c r="L147" s="1">
        <v>65.6</v>
      </c>
      <c r="M147" s="1">
        <v>405.6</v>
      </c>
      <c r="N147" s="1">
        <v>6.2</v>
      </c>
      <c r="O147" s="1">
        <v>8.7</v>
      </c>
      <c r="P147" s="1">
        <v>11.1</v>
      </c>
      <c r="Q147" s="1">
        <v>2.1</v>
      </c>
      <c r="R147" s="1">
        <v>22.0</v>
      </c>
      <c r="S147" s="1">
        <v>5.6</v>
      </c>
      <c r="T147" s="1">
        <v>45.5</v>
      </c>
      <c r="U147" s="1">
        <v>0.7</v>
      </c>
      <c r="V147" s="1">
        <v>0.9</v>
      </c>
      <c r="W147" s="1">
        <v>1.6</v>
      </c>
      <c r="X147" s="1">
        <f t="array" ref="X147:AR147">XLOOKUP(MID(A147, SEARCH("+++", A147) + 3, LEN(A147)),'Defensive Data'!$A$2:$A$134,'Defensive Data'!$D$2:$X$134)</f>
        <v>21.4</v>
      </c>
      <c r="Y147" s="1">
        <v>33.1</v>
      </c>
      <c r="Z147" s="1">
        <v>64.7</v>
      </c>
      <c r="AA147" s="1">
        <v>248.8</v>
      </c>
      <c r="AB147" s="1">
        <v>1.4</v>
      </c>
      <c r="AC147" s="1">
        <v>35.0</v>
      </c>
      <c r="AD147" s="1">
        <v>142.2</v>
      </c>
      <c r="AE147" s="1">
        <v>4.1</v>
      </c>
      <c r="AF147" s="1">
        <v>1.5</v>
      </c>
      <c r="AG147" s="1">
        <v>68.1</v>
      </c>
      <c r="AH147" s="1">
        <v>391.0</v>
      </c>
      <c r="AI147" s="1">
        <v>5.7</v>
      </c>
      <c r="AJ147" s="1">
        <v>11.1</v>
      </c>
      <c r="AK147" s="1">
        <v>7.8</v>
      </c>
      <c r="AL147" s="1">
        <v>2.2</v>
      </c>
      <c r="AM147" s="1">
        <v>21.1</v>
      </c>
      <c r="AN147" s="1">
        <v>5.4</v>
      </c>
      <c r="AO147" s="1">
        <v>48.3</v>
      </c>
      <c r="AP147" s="1">
        <v>0.3</v>
      </c>
      <c r="AQ147" s="1">
        <v>1.2</v>
      </c>
      <c r="AR147" s="1">
        <v>1.5</v>
      </c>
    </row>
    <row r="148" ht="15.75" customHeight="1">
      <c r="A148" s="1" t="str">
        <f>CONCATENATE(Scores!A148,"+++",Scores!C148)</f>
        <v>Ohio State+++Western Michigan</v>
      </c>
      <c r="B148" s="1">
        <f>Scores!B148</f>
        <v>56</v>
      </c>
      <c r="C148" s="1">
        <f t="array" ref="C148:W148">XLOOKUP(LEFT(A148,SEARCH("+",A148)-1),'Offensive Data'!$A$2:$A$134,'Offensive Data'!$D$2:$X$134)</f>
        <v>20.3</v>
      </c>
      <c r="D148" s="1">
        <v>28.4</v>
      </c>
      <c r="E148" s="1">
        <v>71.4</v>
      </c>
      <c r="F148" s="1">
        <v>263.0</v>
      </c>
      <c r="G148" s="1">
        <v>2.3</v>
      </c>
      <c r="H148" s="1">
        <v>33.4</v>
      </c>
      <c r="I148" s="1">
        <v>166.4</v>
      </c>
      <c r="J148" s="1">
        <v>5.0</v>
      </c>
      <c r="K148" s="1">
        <v>2.1</v>
      </c>
      <c r="L148" s="1">
        <v>61.8</v>
      </c>
      <c r="M148" s="1">
        <v>429.4</v>
      </c>
      <c r="N148" s="1">
        <v>6.9</v>
      </c>
      <c r="O148" s="1">
        <v>11.4</v>
      </c>
      <c r="P148" s="1">
        <v>8.4</v>
      </c>
      <c r="Q148" s="1">
        <v>0.9</v>
      </c>
      <c r="R148" s="1">
        <v>20.8</v>
      </c>
      <c r="S148" s="1">
        <v>4.5</v>
      </c>
      <c r="T148" s="1">
        <v>40.8</v>
      </c>
      <c r="U148" s="1">
        <v>0.4</v>
      </c>
      <c r="V148" s="1">
        <v>0.6</v>
      </c>
      <c r="W148" s="1">
        <v>1.0</v>
      </c>
      <c r="X148" s="1">
        <f t="array" ref="X148:AR148">XLOOKUP(MID(A148, SEARCH("+++", A148) + 3, LEN(A148)),'Defensive Data'!$A$2:$A$134,'Defensive Data'!$D$2:$X$134)</f>
        <v>16.2</v>
      </c>
      <c r="Y148" s="1">
        <v>26.5</v>
      </c>
      <c r="Z148" s="1">
        <v>61.3</v>
      </c>
      <c r="AA148" s="1">
        <v>222.6</v>
      </c>
      <c r="AB148" s="1">
        <v>1.5</v>
      </c>
      <c r="AC148" s="1">
        <v>38.5</v>
      </c>
      <c r="AD148" s="1">
        <v>192.5</v>
      </c>
      <c r="AE148" s="1">
        <v>5.0</v>
      </c>
      <c r="AF148" s="1">
        <v>2.2</v>
      </c>
      <c r="AG148" s="1">
        <v>64.9</v>
      </c>
      <c r="AH148" s="1">
        <v>415.1</v>
      </c>
      <c r="AI148" s="1">
        <v>6.4</v>
      </c>
      <c r="AJ148" s="1">
        <v>9.5</v>
      </c>
      <c r="AK148" s="1">
        <v>10.1</v>
      </c>
      <c r="AL148" s="1">
        <v>1.6</v>
      </c>
      <c r="AM148" s="1">
        <v>21.2</v>
      </c>
      <c r="AN148" s="1">
        <v>4.6</v>
      </c>
      <c r="AO148" s="1">
        <v>38.7</v>
      </c>
      <c r="AP148" s="1">
        <v>1.0</v>
      </c>
      <c r="AQ148" s="1">
        <v>0.6</v>
      </c>
      <c r="AR148" s="1">
        <v>1.6</v>
      </c>
    </row>
    <row r="149" ht="15.75" customHeight="1">
      <c r="A149" s="1" t="str">
        <f>CONCATENATE(Scores!A149,"+++",Scores!C149)</f>
        <v>Oklahoma+++Houston</v>
      </c>
      <c r="B149" s="1">
        <f>Scores!B149</f>
        <v>16</v>
      </c>
      <c r="C149" s="1">
        <f t="array" ref="C149:W149">XLOOKUP(LEFT(A149,SEARCH("+",A149)-1),'Offensive Data'!$A$2:$A$134,'Offensive Data'!$D$2:$X$134)</f>
        <v>18.1</v>
      </c>
      <c r="D149" s="1">
        <v>28.7</v>
      </c>
      <c r="E149" s="1">
        <v>63.0</v>
      </c>
      <c r="F149" s="1">
        <v>175.8</v>
      </c>
      <c r="G149" s="1">
        <v>1.2</v>
      </c>
      <c r="H149" s="1">
        <v>40.1</v>
      </c>
      <c r="I149" s="1">
        <v>155.2</v>
      </c>
      <c r="J149" s="1">
        <v>3.9</v>
      </c>
      <c r="K149" s="1">
        <v>1.3</v>
      </c>
      <c r="L149" s="1">
        <v>68.8</v>
      </c>
      <c r="M149" s="1">
        <v>331.0</v>
      </c>
      <c r="N149" s="1">
        <v>4.8</v>
      </c>
      <c r="O149" s="1">
        <v>7.7</v>
      </c>
      <c r="P149" s="1">
        <v>9.2</v>
      </c>
      <c r="Q149" s="1">
        <v>2.1</v>
      </c>
      <c r="R149" s="1">
        <v>19.0</v>
      </c>
      <c r="S149" s="1">
        <v>5.3</v>
      </c>
      <c r="T149" s="1">
        <v>45.5</v>
      </c>
      <c r="U149" s="1">
        <v>1.2</v>
      </c>
      <c r="V149" s="1">
        <v>0.5</v>
      </c>
      <c r="W149" s="1">
        <v>1.6</v>
      </c>
      <c r="X149" s="1">
        <f t="array" ref="X149:AR149">XLOOKUP(MID(A149, SEARCH("+++", A149) + 3, LEN(A149)),'Defensive Data'!$A$2:$A$134,'Defensive Data'!$D$2:$X$134)</f>
        <v>16.6</v>
      </c>
      <c r="Y149" s="1">
        <v>27.8</v>
      </c>
      <c r="Z149" s="1">
        <v>59.8</v>
      </c>
      <c r="AA149" s="1">
        <v>188.8</v>
      </c>
      <c r="AB149" s="1">
        <v>1.5</v>
      </c>
      <c r="AC149" s="1">
        <v>34.7</v>
      </c>
      <c r="AD149" s="1">
        <v>135.9</v>
      </c>
      <c r="AE149" s="1">
        <v>3.9</v>
      </c>
      <c r="AF149" s="1">
        <v>1.2</v>
      </c>
      <c r="AG149" s="1">
        <v>62.4</v>
      </c>
      <c r="AH149" s="1">
        <v>324.8</v>
      </c>
      <c r="AI149" s="1">
        <v>5.2</v>
      </c>
      <c r="AJ149" s="1">
        <v>8.6</v>
      </c>
      <c r="AK149" s="1">
        <v>7.5</v>
      </c>
      <c r="AL149" s="1">
        <v>1.8</v>
      </c>
      <c r="AM149" s="1">
        <v>17.8</v>
      </c>
      <c r="AN149" s="1">
        <v>4.5</v>
      </c>
      <c r="AO149" s="1">
        <v>42.3</v>
      </c>
      <c r="AP149" s="1">
        <v>0.6</v>
      </c>
      <c r="AQ149" s="1">
        <v>1.0</v>
      </c>
      <c r="AR149" s="1">
        <v>1.6</v>
      </c>
    </row>
    <row r="150" ht="15.75" customHeight="1">
      <c r="A150" s="1" t="str">
        <f>CONCATENATE(Scores!A150,"+++",Scores!C150)</f>
        <v>Oklahoma State+++Arkansas</v>
      </c>
      <c r="B150" s="1">
        <f>Scores!B150</f>
        <v>39</v>
      </c>
      <c r="C150" s="1">
        <f t="array" ref="C150:W150">XLOOKUP(LEFT(A150,SEARCH("+",A150)-1),'Offensive Data'!$A$2:$A$134,'Offensive Data'!$D$2:$X$134)</f>
        <v>22.3</v>
      </c>
      <c r="D150" s="1">
        <v>37.4</v>
      </c>
      <c r="E150" s="1">
        <v>59.5</v>
      </c>
      <c r="F150" s="1">
        <v>262.3</v>
      </c>
      <c r="G150" s="1">
        <v>1.8</v>
      </c>
      <c r="H150" s="1">
        <v>29.8</v>
      </c>
      <c r="I150" s="1">
        <v>111.8</v>
      </c>
      <c r="J150" s="1">
        <v>3.7</v>
      </c>
      <c r="K150" s="1">
        <v>1.6</v>
      </c>
      <c r="L150" s="1">
        <v>67.3</v>
      </c>
      <c r="M150" s="1">
        <v>374.0</v>
      </c>
      <c r="N150" s="1">
        <v>5.6</v>
      </c>
      <c r="O150" s="1">
        <v>12.1</v>
      </c>
      <c r="P150" s="1">
        <v>6.8</v>
      </c>
      <c r="Q150" s="1">
        <v>1.6</v>
      </c>
      <c r="R150" s="1">
        <v>20.4</v>
      </c>
      <c r="S150" s="1">
        <v>5.0</v>
      </c>
      <c r="T150" s="1">
        <v>43.4</v>
      </c>
      <c r="U150" s="1">
        <v>0.5</v>
      </c>
      <c r="V150" s="1">
        <v>1.4</v>
      </c>
      <c r="W150" s="1">
        <v>1.9</v>
      </c>
      <c r="X150" s="1">
        <f t="array" ref="X150:AR150">XLOOKUP(MID(A150, SEARCH("+++", A150) + 3, LEN(A150)),'Defensive Data'!$A$2:$A$134,'Defensive Data'!$D$2:$X$134)</f>
        <v>19.9</v>
      </c>
      <c r="Y150" s="1">
        <v>32.2</v>
      </c>
      <c r="Z150" s="1">
        <v>62.0</v>
      </c>
      <c r="AA150" s="1">
        <v>246.9</v>
      </c>
      <c r="AB150" s="1">
        <v>1.7</v>
      </c>
      <c r="AC150" s="1">
        <v>35.6</v>
      </c>
      <c r="AD150" s="1">
        <v>129.2</v>
      </c>
      <c r="AE150" s="1">
        <v>3.6</v>
      </c>
      <c r="AF150" s="1">
        <v>1.2</v>
      </c>
      <c r="AG150" s="1">
        <v>67.8</v>
      </c>
      <c r="AH150" s="1">
        <v>376.1</v>
      </c>
      <c r="AI150" s="1">
        <v>5.5</v>
      </c>
      <c r="AJ150" s="1">
        <v>11.0</v>
      </c>
      <c r="AK150" s="1">
        <v>6.5</v>
      </c>
      <c r="AL150" s="1">
        <v>2.4</v>
      </c>
      <c r="AM150" s="1">
        <v>19.9</v>
      </c>
      <c r="AN150" s="1">
        <v>6.5</v>
      </c>
      <c r="AO150" s="1">
        <v>53.9</v>
      </c>
      <c r="AP150" s="1">
        <v>0.4</v>
      </c>
      <c r="AQ150" s="1">
        <v>0.8</v>
      </c>
      <c r="AR150" s="1">
        <v>1.2</v>
      </c>
    </row>
    <row r="151" ht="15.75" customHeight="1">
      <c r="A151" s="1" t="str">
        <f>CONCATENATE(Scores!A151,"+++",Scores!C151)</f>
        <v>Oregon+++Boise State</v>
      </c>
      <c r="B151" s="1">
        <f>Scores!B151</f>
        <v>37</v>
      </c>
      <c r="C151" s="1">
        <f t="array" ref="C151:W151">XLOOKUP(LEFT(A151,SEARCH("+",A151)-1),'Offensive Data'!$A$2:$A$134,'Offensive Data'!$D$2:$X$134)</f>
        <v>23.9</v>
      </c>
      <c r="D151" s="1">
        <v>32.9</v>
      </c>
      <c r="E151" s="1">
        <v>72.8</v>
      </c>
      <c r="F151" s="1">
        <v>279.5</v>
      </c>
      <c r="G151" s="1">
        <v>2.1</v>
      </c>
      <c r="H151" s="1">
        <v>35.6</v>
      </c>
      <c r="I151" s="1">
        <v>157.9</v>
      </c>
      <c r="J151" s="1">
        <v>4.4</v>
      </c>
      <c r="K151" s="1">
        <v>2.1</v>
      </c>
      <c r="L151" s="1">
        <v>68.5</v>
      </c>
      <c r="M151" s="1">
        <v>437.4</v>
      </c>
      <c r="N151" s="1">
        <v>6.4</v>
      </c>
      <c r="O151" s="1">
        <v>12.5</v>
      </c>
      <c r="P151" s="1">
        <v>9.1</v>
      </c>
      <c r="Q151" s="1">
        <v>1.5</v>
      </c>
      <c r="R151" s="1">
        <v>23.1</v>
      </c>
      <c r="S151" s="1">
        <v>5.3</v>
      </c>
      <c r="T151" s="1">
        <v>41.4</v>
      </c>
      <c r="U151" s="1">
        <v>0.4</v>
      </c>
      <c r="V151" s="1">
        <v>0.4</v>
      </c>
      <c r="W151" s="1">
        <v>0.8</v>
      </c>
      <c r="X151" s="1">
        <f t="array" ref="X151:AR151">XLOOKUP(MID(A151, SEARCH("+++", A151) + 3, LEN(A151)),'Defensive Data'!$A$2:$A$134,'Defensive Data'!$D$2:$X$134)</f>
        <v>19.5</v>
      </c>
      <c r="Y151" s="1">
        <v>32.2</v>
      </c>
      <c r="Z151" s="1">
        <v>60.5</v>
      </c>
      <c r="AA151" s="1">
        <v>241.4</v>
      </c>
      <c r="AB151" s="1">
        <v>1.7</v>
      </c>
      <c r="AC151" s="1">
        <v>32.4</v>
      </c>
      <c r="AD151" s="1">
        <v>122.3</v>
      </c>
      <c r="AE151" s="1">
        <v>3.8</v>
      </c>
      <c r="AF151" s="1">
        <v>1.1</v>
      </c>
      <c r="AG151" s="1">
        <v>64.6</v>
      </c>
      <c r="AH151" s="1">
        <v>363.7</v>
      </c>
      <c r="AI151" s="1">
        <v>5.6</v>
      </c>
      <c r="AJ151" s="1">
        <v>9.2</v>
      </c>
      <c r="AK151" s="1">
        <v>6.8</v>
      </c>
      <c r="AL151" s="1">
        <v>1.2</v>
      </c>
      <c r="AM151" s="1">
        <v>17.2</v>
      </c>
      <c r="AN151" s="1">
        <v>6.6</v>
      </c>
      <c r="AO151" s="1">
        <v>52.6</v>
      </c>
      <c r="AP151" s="1">
        <v>0.6</v>
      </c>
      <c r="AQ151" s="1">
        <v>0.5</v>
      </c>
      <c r="AR151" s="1">
        <v>1.1</v>
      </c>
    </row>
    <row r="152" ht="15.75" customHeight="1">
      <c r="A152" s="1" t="str">
        <f>CONCATENATE(Scores!A152,"+++",Scores!C152)</f>
        <v>Oregon State+++San Diego State</v>
      </c>
      <c r="B152" s="1">
        <f>Scores!B152</f>
        <v>21</v>
      </c>
      <c r="C152" s="1">
        <f t="array" ref="C152:W152">XLOOKUP(LEFT(A152,SEARCH("+",A152)-1),'Offensive Data'!$A$2:$A$134,'Offensive Data'!$D$2:$X$134)</f>
        <v>18</v>
      </c>
      <c r="D152" s="1">
        <v>30.0</v>
      </c>
      <c r="E152" s="1">
        <v>60.0</v>
      </c>
      <c r="F152" s="1">
        <v>201.4</v>
      </c>
      <c r="G152" s="1">
        <v>0.6</v>
      </c>
      <c r="H152" s="1">
        <v>40.3</v>
      </c>
      <c r="I152" s="1">
        <v>189.2</v>
      </c>
      <c r="J152" s="1">
        <v>4.7</v>
      </c>
      <c r="K152" s="1">
        <v>2.4</v>
      </c>
      <c r="L152" s="1">
        <v>70.3</v>
      </c>
      <c r="M152" s="1">
        <v>390.6</v>
      </c>
      <c r="N152" s="1">
        <v>5.6</v>
      </c>
      <c r="O152" s="1">
        <v>9.2</v>
      </c>
      <c r="P152" s="1">
        <v>11.1</v>
      </c>
      <c r="Q152" s="1">
        <v>2.1</v>
      </c>
      <c r="R152" s="1">
        <v>22.3</v>
      </c>
      <c r="S152" s="1">
        <v>5.1</v>
      </c>
      <c r="T152" s="1">
        <v>45.7</v>
      </c>
      <c r="U152" s="1">
        <v>0.4</v>
      </c>
      <c r="V152" s="1">
        <v>0.9</v>
      </c>
      <c r="W152" s="1">
        <v>1.3</v>
      </c>
      <c r="X152" s="1">
        <f t="array" ref="X152:AR152">XLOOKUP(MID(A152, SEARCH("+++", A152) + 3, LEN(A152)),'Defensive Data'!$A$2:$A$134,'Defensive Data'!$D$2:$X$134)</f>
        <v>18.6</v>
      </c>
      <c r="Y152" s="1">
        <v>28.6</v>
      </c>
      <c r="Z152" s="1">
        <v>65.0</v>
      </c>
      <c r="AA152" s="1">
        <v>214.1</v>
      </c>
      <c r="AB152" s="1">
        <v>1.8</v>
      </c>
      <c r="AC152" s="1">
        <v>42.4</v>
      </c>
      <c r="AD152" s="1">
        <v>207.3</v>
      </c>
      <c r="AE152" s="1">
        <v>4.9</v>
      </c>
      <c r="AF152" s="1">
        <v>2.1</v>
      </c>
      <c r="AG152" s="1">
        <v>71.0</v>
      </c>
      <c r="AH152" s="1">
        <v>421.3</v>
      </c>
      <c r="AI152" s="1">
        <v>5.9</v>
      </c>
      <c r="AJ152" s="1">
        <v>9.4</v>
      </c>
      <c r="AK152" s="1">
        <v>11.3</v>
      </c>
      <c r="AL152" s="1">
        <v>2.6</v>
      </c>
      <c r="AM152" s="1">
        <v>23.3</v>
      </c>
      <c r="AN152" s="1">
        <v>6.5</v>
      </c>
      <c r="AO152" s="1">
        <v>63.8</v>
      </c>
      <c r="AP152" s="1">
        <v>0.4</v>
      </c>
      <c r="AQ152" s="1">
        <v>0.6</v>
      </c>
      <c r="AR152" s="1">
        <v>1.0</v>
      </c>
    </row>
    <row r="153" ht="15.75" customHeight="1">
      <c r="A153" s="1" t="str">
        <f>CONCATENATE(Scores!A153,"+++",Scores!C153)</f>
        <v>Penn State+++Bowling Green</v>
      </c>
      <c r="B153" s="1">
        <f>Scores!B153</f>
        <v>34</v>
      </c>
      <c r="C153" s="1">
        <f t="array" ref="C153:W153">XLOOKUP(LEFT(A153,SEARCH("+",A153)-1),'Offensive Data'!$A$2:$A$134,'Offensive Data'!$D$2:$X$134)</f>
        <v>18.3</v>
      </c>
      <c r="D153" s="1">
        <v>27.3</v>
      </c>
      <c r="E153" s="1">
        <v>66.8</v>
      </c>
      <c r="F153" s="1">
        <v>227.9</v>
      </c>
      <c r="G153" s="1">
        <v>1.9</v>
      </c>
      <c r="H153" s="1">
        <v>38.4</v>
      </c>
      <c r="I153" s="1">
        <v>202.3</v>
      </c>
      <c r="J153" s="1">
        <v>5.3</v>
      </c>
      <c r="K153" s="1">
        <v>2.2</v>
      </c>
      <c r="L153" s="1">
        <v>65.8</v>
      </c>
      <c r="M153" s="1">
        <v>430.2</v>
      </c>
      <c r="N153" s="1">
        <v>6.5</v>
      </c>
      <c r="O153" s="1">
        <v>11.1</v>
      </c>
      <c r="P153" s="1">
        <v>10.5</v>
      </c>
      <c r="Q153" s="1">
        <v>1.4</v>
      </c>
      <c r="R153" s="1">
        <v>22.9</v>
      </c>
      <c r="S153" s="1">
        <v>5.3</v>
      </c>
      <c r="T153" s="1">
        <v>50.3</v>
      </c>
      <c r="U153" s="1">
        <v>0.3</v>
      </c>
      <c r="V153" s="1">
        <v>0.6</v>
      </c>
      <c r="W153" s="1">
        <v>0.9</v>
      </c>
      <c r="X153" s="1" t="str">
        <f t="array" ref="X153">XLOOKUP(MID(A153, SEARCH("+++", A153) + 3, LEN(A153)),'Defensive Data'!$A$2:$A$134,'Defensive Data'!$D$2:$X$134)</f>
        <v>#N/A</v>
      </c>
    </row>
    <row r="154" ht="15.75" customHeight="1">
      <c r="A154" s="1" t="str">
        <f>CONCATENATE(Scores!A154,"+++",Scores!C154)</f>
        <v>Pittsburgh+++Cincinnati</v>
      </c>
      <c r="B154" s="1">
        <f>Scores!B154</f>
        <v>28</v>
      </c>
      <c r="C154" s="1" t="str">
        <f t="array" ref="C154">XLOOKUP(LEFT(A154,SEARCH("+",A154)-1),'Offensive Data'!$A$2:$A$134,'Offensive Data'!$D$2:$X$134)</f>
        <v>#N/A</v>
      </c>
      <c r="X154" s="1">
        <f t="array" ref="X154:AR154">XLOOKUP(MID(A154, SEARCH("+++", A154) + 3, LEN(A154)),'Defensive Data'!$A$2:$A$134,'Defensive Data'!$D$2:$X$134)</f>
        <v>17.8</v>
      </c>
      <c r="Y154" s="1">
        <v>29.0</v>
      </c>
      <c r="Z154" s="1">
        <v>61.2</v>
      </c>
      <c r="AA154" s="1">
        <v>222.8</v>
      </c>
      <c r="AB154" s="1">
        <v>1.3</v>
      </c>
      <c r="AC154" s="1">
        <v>34.5</v>
      </c>
      <c r="AD154" s="1">
        <v>162.7</v>
      </c>
      <c r="AE154" s="1">
        <v>4.7</v>
      </c>
      <c r="AF154" s="1">
        <v>1.3</v>
      </c>
      <c r="AG154" s="1">
        <v>63.5</v>
      </c>
      <c r="AH154" s="1">
        <v>385.4</v>
      </c>
      <c r="AI154" s="1">
        <v>6.1</v>
      </c>
      <c r="AJ154" s="1">
        <v>9.6</v>
      </c>
      <c r="AK154" s="1">
        <v>7.7</v>
      </c>
      <c r="AL154" s="1">
        <v>1.5</v>
      </c>
      <c r="AM154" s="1">
        <v>18.8</v>
      </c>
      <c r="AN154" s="1">
        <v>5.4</v>
      </c>
      <c r="AO154" s="1">
        <v>42.9</v>
      </c>
      <c r="AP154" s="1">
        <v>0.8</v>
      </c>
      <c r="AQ154" s="1">
        <v>0.4</v>
      </c>
      <c r="AR154" s="1">
        <v>1.2</v>
      </c>
    </row>
    <row r="155" ht="15.75" customHeight="1">
      <c r="A155" s="1" t="str">
        <f>CONCATENATE(Scores!A155,"+++",Scores!C155)</f>
        <v>Rice+++Texas Southern</v>
      </c>
      <c r="B155" s="1">
        <f>Scores!B155</f>
        <v>69</v>
      </c>
      <c r="C155" s="1">
        <f t="array" ref="C155:W155">XLOOKUP(LEFT(A155,SEARCH("+",A155)-1),'Offensive Data'!$A$2:$A$134,'Offensive Data'!$D$2:$X$134)</f>
        <v>24.4</v>
      </c>
      <c r="D155" s="1">
        <v>39.8</v>
      </c>
      <c r="E155" s="1">
        <v>61.3</v>
      </c>
      <c r="F155" s="1">
        <v>239.0</v>
      </c>
      <c r="G155" s="1">
        <v>1.4</v>
      </c>
      <c r="H155" s="1">
        <v>25.1</v>
      </c>
      <c r="I155" s="1">
        <v>113.9</v>
      </c>
      <c r="J155" s="1">
        <v>4.5</v>
      </c>
      <c r="K155" s="1">
        <v>1.2</v>
      </c>
      <c r="L155" s="1">
        <v>64.9</v>
      </c>
      <c r="M155" s="1">
        <v>352.9</v>
      </c>
      <c r="N155" s="1">
        <v>5.4</v>
      </c>
      <c r="O155" s="1">
        <v>10.4</v>
      </c>
      <c r="P155" s="1">
        <v>6.2</v>
      </c>
      <c r="Q155" s="1">
        <v>1.8</v>
      </c>
      <c r="R155" s="1">
        <v>18.3</v>
      </c>
      <c r="S155" s="1">
        <v>7.1</v>
      </c>
      <c r="T155" s="1">
        <v>57.4</v>
      </c>
      <c r="U155" s="1">
        <v>0.8</v>
      </c>
      <c r="V155" s="1">
        <v>1.1</v>
      </c>
      <c r="W155" s="1">
        <v>1.8</v>
      </c>
      <c r="X155" s="1" t="str">
        <f t="array" ref="X155">XLOOKUP(MID(A155, SEARCH("+++", A155) + 3, LEN(A155)),'Defensive Data'!$A$2:$A$134,'Defensive Data'!$D$2:$X$134)</f>
        <v>#N/A</v>
      </c>
    </row>
    <row r="156" ht="15.75" customHeight="1">
      <c r="A156" s="1" t="str">
        <f>CONCATENATE(Scores!A156,"+++",Scores!C156)</f>
        <v>Rutgers+++Akron</v>
      </c>
      <c r="B156" s="1">
        <f>Scores!B156</f>
        <v>49</v>
      </c>
      <c r="C156" s="1">
        <f t="array" ref="C156:W156">XLOOKUP(LEFT(A156,SEARCH("+",A156)-1),'Offensive Data'!$A$2:$A$134,'Offensive Data'!$D$2:$X$134)</f>
        <v>16.4</v>
      </c>
      <c r="D156" s="1">
        <v>30.4</v>
      </c>
      <c r="E156" s="1">
        <v>53.9</v>
      </c>
      <c r="F156" s="1">
        <v>207.4</v>
      </c>
      <c r="G156" s="1">
        <v>1.4</v>
      </c>
      <c r="H156" s="1">
        <v>39.8</v>
      </c>
      <c r="I156" s="1">
        <v>175.3</v>
      </c>
      <c r="J156" s="1">
        <v>4.4</v>
      </c>
      <c r="K156" s="1">
        <v>2.2</v>
      </c>
      <c r="L156" s="1">
        <v>70.2</v>
      </c>
      <c r="M156" s="1">
        <v>382.7</v>
      </c>
      <c r="N156" s="1">
        <v>5.5</v>
      </c>
      <c r="O156" s="1">
        <v>10.1</v>
      </c>
      <c r="P156" s="1">
        <v>9.9</v>
      </c>
      <c r="Q156" s="1">
        <v>2.5</v>
      </c>
      <c r="R156" s="1">
        <v>22.5</v>
      </c>
      <c r="S156" s="1">
        <v>4.0</v>
      </c>
      <c r="T156" s="1">
        <v>34.2</v>
      </c>
      <c r="U156" s="1">
        <v>0.2</v>
      </c>
      <c r="V156" s="1">
        <v>0.5</v>
      </c>
      <c r="W156" s="1">
        <v>0.7</v>
      </c>
      <c r="X156" s="1">
        <f t="array" ref="X156:AR156">XLOOKUP(MID(A156, SEARCH("+++", A156) + 3, LEN(A156)),'Defensive Data'!$A$2:$A$134,'Defensive Data'!$D$2:$X$134)</f>
        <v>18.4</v>
      </c>
      <c r="Y156" s="1">
        <v>28.6</v>
      </c>
      <c r="Z156" s="1">
        <v>64.4</v>
      </c>
      <c r="AA156" s="1">
        <v>231.1</v>
      </c>
      <c r="AB156" s="1">
        <v>2.0</v>
      </c>
      <c r="AC156" s="1">
        <v>39.7</v>
      </c>
      <c r="AD156" s="1">
        <v>183.3</v>
      </c>
      <c r="AE156" s="1">
        <v>4.6</v>
      </c>
      <c r="AF156" s="1">
        <v>1.9</v>
      </c>
      <c r="AG156" s="1">
        <v>68.3</v>
      </c>
      <c r="AH156" s="1">
        <v>414.4</v>
      </c>
      <c r="AI156" s="1">
        <v>6.1</v>
      </c>
      <c r="AJ156" s="1">
        <v>10.2</v>
      </c>
      <c r="AK156" s="1">
        <v>8.7</v>
      </c>
      <c r="AL156" s="1">
        <v>1.6</v>
      </c>
      <c r="AM156" s="1">
        <v>20.4</v>
      </c>
      <c r="AN156" s="1">
        <v>6.7</v>
      </c>
      <c r="AO156" s="1">
        <v>53.4</v>
      </c>
      <c r="AP156" s="1">
        <v>0.6</v>
      </c>
      <c r="AQ156" s="1">
        <v>0.3</v>
      </c>
      <c r="AR156" s="1">
        <v>0.8</v>
      </c>
    </row>
    <row r="157" ht="15.75" customHeight="1">
      <c r="A157" s="1" t="str">
        <f>CONCATENATE(Scores!A157,"+++",Scores!C157)</f>
        <v>San Jose State+++Air Force</v>
      </c>
      <c r="B157" s="1">
        <f>Scores!B157</f>
        <v>17</v>
      </c>
      <c r="C157" s="1">
        <f t="array" ref="C157:W157">XLOOKUP(LEFT(A157,SEARCH("+",A157)-1),'Offensive Data'!$A$2:$A$134,'Offensive Data'!$D$2:$X$134)</f>
        <v>24.3</v>
      </c>
      <c r="D157" s="1">
        <v>42.5</v>
      </c>
      <c r="E157" s="1">
        <v>57.2</v>
      </c>
      <c r="F157" s="1">
        <v>321.8</v>
      </c>
      <c r="G157" s="1">
        <v>2.4</v>
      </c>
      <c r="H157" s="1">
        <v>24.9</v>
      </c>
      <c r="I157" s="1">
        <v>88.1</v>
      </c>
      <c r="J157" s="1">
        <v>3.5</v>
      </c>
      <c r="K157" s="1">
        <v>1.0</v>
      </c>
      <c r="L157" s="1">
        <v>67.4</v>
      </c>
      <c r="M157" s="1">
        <v>409.8</v>
      </c>
      <c r="N157" s="1">
        <v>6.1</v>
      </c>
      <c r="O157" s="1">
        <v>13.8</v>
      </c>
      <c r="P157" s="1">
        <v>5.5</v>
      </c>
      <c r="Q157" s="1">
        <v>2.5</v>
      </c>
      <c r="R157" s="1">
        <v>21.8</v>
      </c>
      <c r="S157" s="1">
        <v>7.0</v>
      </c>
      <c r="T157" s="1">
        <v>60.3</v>
      </c>
      <c r="U157" s="1">
        <v>1.0</v>
      </c>
      <c r="V157" s="1">
        <v>1.2</v>
      </c>
      <c r="W157" s="1">
        <v>2.2</v>
      </c>
      <c r="X157" s="1">
        <f t="array" ref="X157:AR157">XLOOKUP(MID(A157, SEARCH("+++", A157) + 3, LEN(A157)),'Defensive Data'!$A$2:$A$134,'Defensive Data'!$D$2:$X$134)</f>
        <v>15.6</v>
      </c>
      <c r="Y157" s="1">
        <v>24.1</v>
      </c>
      <c r="Z157" s="1">
        <v>64.7</v>
      </c>
      <c r="AA157" s="1">
        <v>188.5</v>
      </c>
      <c r="AB157" s="1">
        <v>1.0</v>
      </c>
      <c r="AC157" s="1">
        <v>33.6</v>
      </c>
      <c r="AD157" s="1">
        <v>153.4</v>
      </c>
      <c r="AE157" s="1">
        <v>4.6</v>
      </c>
      <c r="AF157" s="1">
        <v>1.9</v>
      </c>
      <c r="AG157" s="1">
        <v>57.7</v>
      </c>
      <c r="AH157" s="1">
        <v>341.9</v>
      </c>
      <c r="AI157" s="1">
        <v>5.9</v>
      </c>
      <c r="AJ157" s="1">
        <v>8.5</v>
      </c>
      <c r="AK157" s="1">
        <v>7.4</v>
      </c>
      <c r="AL157" s="1">
        <v>1.1</v>
      </c>
      <c r="AM157" s="1">
        <v>17.0</v>
      </c>
      <c r="AN157" s="1">
        <v>5.3</v>
      </c>
      <c r="AO157" s="1">
        <v>48.4</v>
      </c>
      <c r="AP157" s="1">
        <v>0.7</v>
      </c>
      <c r="AQ157" s="1">
        <v>0.3</v>
      </c>
      <c r="AR157" s="1">
        <v>1.0</v>
      </c>
    </row>
    <row r="158" ht="15.75" customHeight="1">
      <c r="A158" s="1" t="str">
        <f>CONCATENATE(Scores!A158,"+++",Scores!C158)</f>
        <v>South Carolina+++Kentucky</v>
      </c>
      <c r="B158" s="1">
        <f>Scores!B158</f>
        <v>31</v>
      </c>
      <c r="C158" s="1">
        <f t="array" ref="C158:W158">XLOOKUP(LEFT(A158,SEARCH("+",A158)-1),'Offensive Data'!$A$2:$A$134,'Offensive Data'!$D$2:$X$134)</f>
        <v>17.2</v>
      </c>
      <c r="D158" s="1">
        <v>26.3</v>
      </c>
      <c r="E158" s="1">
        <v>65.5</v>
      </c>
      <c r="F158" s="1">
        <v>223.4</v>
      </c>
      <c r="G158" s="1">
        <v>1.6</v>
      </c>
      <c r="H158" s="1">
        <v>42.4</v>
      </c>
      <c r="I158" s="1">
        <v>184.4</v>
      </c>
      <c r="J158" s="1">
        <v>4.4</v>
      </c>
      <c r="K158" s="1">
        <v>2.0</v>
      </c>
      <c r="L158" s="1">
        <v>68.7</v>
      </c>
      <c r="M158" s="1">
        <v>407.8</v>
      </c>
      <c r="N158" s="1">
        <v>5.9</v>
      </c>
      <c r="O158" s="1">
        <v>9.6</v>
      </c>
      <c r="P158" s="1">
        <v>10.3</v>
      </c>
      <c r="Q158" s="1">
        <v>1.6</v>
      </c>
      <c r="R158" s="1">
        <v>21.5</v>
      </c>
      <c r="S158" s="1">
        <v>6.7</v>
      </c>
      <c r="T158" s="1">
        <v>58.0</v>
      </c>
      <c r="U158" s="1">
        <v>1.1</v>
      </c>
      <c r="V158" s="1">
        <v>0.5</v>
      </c>
      <c r="W158" s="1">
        <v>1.6</v>
      </c>
      <c r="X158" s="1">
        <f t="array" ref="X158:AR158">XLOOKUP(MID(A158, SEARCH("+++", A158) + 3, LEN(A158)),'Defensive Data'!$A$2:$A$134,'Defensive Data'!$D$2:$X$134)</f>
        <v>14.8</v>
      </c>
      <c r="Y158" s="1">
        <v>23.3</v>
      </c>
      <c r="Z158" s="1">
        <v>63.4</v>
      </c>
      <c r="AA158" s="1">
        <v>183.7</v>
      </c>
      <c r="AB158" s="1">
        <v>0.8</v>
      </c>
      <c r="AC158" s="1">
        <v>36.3</v>
      </c>
      <c r="AD158" s="1">
        <v>161.8</v>
      </c>
      <c r="AE158" s="1">
        <v>4.5</v>
      </c>
      <c r="AF158" s="1">
        <v>1.7</v>
      </c>
      <c r="AG158" s="1">
        <v>59.6</v>
      </c>
      <c r="AH158" s="1">
        <v>345.5</v>
      </c>
      <c r="AI158" s="1">
        <v>5.8</v>
      </c>
      <c r="AJ158" s="1">
        <v>7.8</v>
      </c>
      <c r="AK158" s="1">
        <v>8.7</v>
      </c>
      <c r="AL158" s="1">
        <v>1.4</v>
      </c>
      <c r="AM158" s="1">
        <v>17.9</v>
      </c>
      <c r="AN158" s="1">
        <v>6.8</v>
      </c>
      <c r="AO158" s="1">
        <v>55.2</v>
      </c>
      <c r="AP158" s="1">
        <v>0.5</v>
      </c>
      <c r="AQ158" s="1">
        <v>0.8</v>
      </c>
      <c r="AR158" s="1">
        <v>1.3</v>
      </c>
    </row>
    <row r="159" ht="15.75" customHeight="1">
      <c r="A159" s="1" t="str">
        <f>CONCATENATE(Scores!A159,"+++",Scores!C159)</f>
        <v>Southern California+++Utah State</v>
      </c>
      <c r="B159" s="1">
        <f>Scores!B159</f>
        <v>48</v>
      </c>
      <c r="C159" s="1" t="str">
        <f t="array" ref="C159">XLOOKUP(LEFT(A159,SEARCH("+",A159)-1),'Offensive Data'!$A$2:$A$134,'Offensive Data'!$D$2:$X$134)</f>
        <v>#N/A</v>
      </c>
      <c r="X159" s="1">
        <f t="array" ref="X159:AR159">XLOOKUP(MID(A159, SEARCH("+++", A159) + 3, LEN(A159)),'Defensive Data'!$A$2:$A$134,'Defensive Data'!$D$2:$X$134)</f>
        <v>22.3</v>
      </c>
      <c r="Y159" s="1">
        <v>32.8</v>
      </c>
      <c r="Z159" s="1">
        <v>67.9</v>
      </c>
      <c r="AA159" s="1">
        <v>255.6</v>
      </c>
      <c r="AB159" s="1">
        <v>2.3</v>
      </c>
      <c r="AC159" s="1">
        <v>39.8</v>
      </c>
      <c r="AD159" s="1">
        <v>214.5</v>
      </c>
      <c r="AE159" s="1">
        <v>5.4</v>
      </c>
      <c r="AF159" s="1">
        <v>2.3</v>
      </c>
      <c r="AG159" s="1">
        <v>72.6</v>
      </c>
      <c r="AH159" s="1">
        <v>470.1</v>
      </c>
      <c r="AI159" s="1">
        <v>6.5</v>
      </c>
      <c r="AJ159" s="1">
        <v>12.3</v>
      </c>
      <c r="AK159" s="1">
        <v>9.3</v>
      </c>
      <c r="AL159" s="1">
        <v>1.8</v>
      </c>
      <c r="AM159" s="1">
        <v>23.4</v>
      </c>
      <c r="AN159" s="1">
        <v>7.5</v>
      </c>
      <c r="AO159" s="1">
        <v>59.4</v>
      </c>
      <c r="AP159" s="1">
        <v>0.3</v>
      </c>
      <c r="AQ159" s="1">
        <v>1.1</v>
      </c>
      <c r="AR159" s="1">
        <v>1.3</v>
      </c>
    </row>
    <row r="160" ht="15.75" customHeight="1">
      <c r="A160" s="1" t="str">
        <f>CONCATENATE(Scores!A160,"+++",Scores!C160)</f>
        <v>Southern Mississippi+++Southeastern Louisiana</v>
      </c>
      <c r="B160" s="1">
        <f>Scores!B160</f>
        <v>35</v>
      </c>
      <c r="C160" s="1">
        <f t="array" ref="C160:W160">XLOOKUP(LEFT(A160,SEARCH("+",A160)-1),'Offensive Data'!$A$2:$A$134,'Offensive Data'!$D$2:$X$134)</f>
        <v>13.8</v>
      </c>
      <c r="D160" s="1">
        <v>26.4</v>
      </c>
      <c r="E160" s="1">
        <v>52.4</v>
      </c>
      <c r="F160" s="1">
        <v>174.9</v>
      </c>
      <c r="G160" s="1">
        <v>0.6</v>
      </c>
      <c r="H160" s="1">
        <v>34.3</v>
      </c>
      <c r="I160" s="1">
        <v>108.6</v>
      </c>
      <c r="J160" s="1">
        <v>3.2</v>
      </c>
      <c r="K160" s="1">
        <v>1.1</v>
      </c>
      <c r="L160" s="1">
        <v>60.8</v>
      </c>
      <c r="M160" s="1">
        <v>283.5</v>
      </c>
      <c r="N160" s="1">
        <v>4.7</v>
      </c>
      <c r="O160" s="1">
        <v>6.3</v>
      </c>
      <c r="P160" s="1">
        <v>7.0</v>
      </c>
      <c r="Q160" s="1">
        <v>2.2</v>
      </c>
      <c r="R160" s="1">
        <v>15.4</v>
      </c>
      <c r="S160" s="1">
        <v>6.0</v>
      </c>
      <c r="T160" s="1">
        <v>48.3</v>
      </c>
      <c r="U160" s="1">
        <v>1.0</v>
      </c>
      <c r="V160" s="1">
        <v>1.4</v>
      </c>
      <c r="W160" s="1">
        <v>2.4</v>
      </c>
      <c r="X160" s="1" t="str">
        <f t="array" ref="X160">XLOOKUP(MID(A160, SEARCH("+++", A160) + 3, LEN(A160)),'Defensive Data'!$A$2:$A$134,'Defensive Data'!$D$2:$X$134)</f>
        <v>#N/A</v>
      </c>
    </row>
    <row r="161" ht="15.75" customHeight="1">
      <c r="A161" s="1" t="str">
        <f>CONCATENATE(Scores!A161,"+++",Scores!C161)</f>
        <v>Southern Utah+++Texas-El Paso</v>
      </c>
      <c r="B161" s="1">
        <f>Scores!B161</f>
        <v>27</v>
      </c>
      <c r="C161" s="1" t="str">
        <f t="array" ref="C161">XLOOKUP(LEFT(A161,SEARCH("+",A161)-1),'Offensive Data'!$A$2:$A$134,'Offensive Data'!$D$2:$X$134)</f>
        <v>#N/A</v>
      </c>
      <c r="X161" s="1" t="str">
        <f t="array" ref="X161">XLOOKUP(MID(A161, SEARCH("+++", A161) + 3, LEN(A161)),'Defensive Data'!$A$2:$A$134,'Defensive Data'!$D$2:$X$134)</f>
        <v>#N/A</v>
      </c>
    </row>
    <row r="162" ht="15.75" customHeight="1">
      <c r="A162" s="1" t="str">
        <f>CONCATENATE(Scores!A162,"+++",Scores!C162)</f>
        <v>St. Francis (PA)+++Kent State</v>
      </c>
      <c r="B162" s="1">
        <f>Scores!B162</f>
        <v>23</v>
      </c>
      <c r="C162" s="1" t="str">
        <f t="array" ref="C162">XLOOKUP(LEFT(A162,SEARCH("+",A162)-1),'Offensive Data'!$A$2:$A$134,'Offensive Data'!$D$2:$X$134)</f>
        <v>#N/A</v>
      </c>
      <c r="X162" s="1" t="str">
        <f t="array" ref="X162">XLOOKUP(MID(A162, SEARCH("+++", A162) + 3, LEN(A162)),'Defensive Data'!$A$2:$A$134,'Defensive Data'!$D$2:$X$134)</f>
        <v>#N/A</v>
      </c>
    </row>
    <row r="163" ht="15.75" customHeight="1">
      <c r="A163" s="1" t="str">
        <f>CONCATENATE(Scores!A163,"+++",Scores!C163)</f>
        <v>Stanford+++Cal Poly</v>
      </c>
      <c r="B163" s="1">
        <f>Scores!B163</f>
        <v>41</v>
      </c>
      <c r="C163" s="1">
        <f t="array" ref="C163:W163">XLOOKUP(LEFT(A163,SEARCH("+",A163)-1),'Offensive Data'!$A$2:$A$134,'Offensive Data'!$D$2:$X$134)</f>
        <v>18.7</v>
      </c>
      <c r="D163" s="1">
        <v>30.8</v>
      </c>
      <c r="E163" s="1">
        <v>60.5</v>
      </c>
      <c r="F163" s="1">
        <v>191.3</v>
      </c>
      <c r="G163" s="1">
        <v>1.5</v>
      </c>
      <c r="H163" s="1">
        <v>36.4</v>
      </c>
      <c r="I163" s="1">
        <v>132.7</v>
      </c>
      <c r="J163" s="1">
        <v>3.6</v>
      </c>
      <c r="K163" s="1">
        <v>0.9</v>
      </c>
      <c r="L163" s="1">
        <v>67.3</v>
      </c>
      <c r="M163" s="1">
        <v>323.9</v>
      </c>
      <c r="N163" s="1">
        <v>4.8</v>
      </c>
      <c r="O163" s="1">
        <v>9.3</v>
      </c>
      <c r="P163" s="1">
        <v>7.4</v>
      </c>
      <c r="Q163" s="1">
        <v>1.8</v>
      </c>
      <c r="R163" s="1">
        <v>18.6</v>
      </c>
      <c r="S163" s="1">
        <v>5.4</v>
      </c>
      <c r="T163" s="1">
        <v>49.0</v>
      </c>
      <c r="U163" s="1">
        <v>0.4</v>
      </c>
      <c r="V163" s="1">
        <v>1.4</v>
      </c>
      <c r="W163" s="1">
        <v>1.8</v>
      </c>
      <c r="X163" s="1" t="str">
        <f t="array" ref="X163">XLOOKUP(MID(A163, SEARCH("+++", A163) + 3, LEN(A163)),'Defensive Data'!$A$2:$A$134,'Defensive Data'!$D$2:$X$134)</f>
        <v>#N/A</v>
      </c>
    </row>
    <row r="164" ht="15.75" customHeight="1">
      <c r="A164" s="1" t="str">
        <f>CONCATENATE(Scores!A164,"+++",Scores!C164)</f>
        <v>Syracuse+++Georgia Tech</v>
      </c>
      <c r="B164" s="1">
        <f>Scores!B164</f>
        <v>31</v>
      </c>
      <c r="C164" s="1">
        <f t="array" ref="C164:W164">XLOOKUP(LEFT(A164,SEARCH("+",A164)-1),'Offensive Data'!$A$2:$A$134,'Offensive Data'!$D$2:$X$134)</f>
        <v>30.2</v>
      </c>
      <c r="D164" s="1">
        <v>46.0</v>
      </c>
      <c r="E164" s="1">
        <v>65.7</v>
      </c>
      <c r="F164" s="1">
        <v>370.0</v>
      </c>
      <c r="G164" s="1">
        <v>2.6</v>
      </c>
      <c r="H164" s="1">
        <v>30.9</v>
      </c>
      <c r="I164" s="1">
        <v>97.6</v>
      </c>
      <c r="J164" s="1">
        <v>3.2</v>
      </c>
      <c r="K164" s="1">
        <v>1.7</v>
      </c>
      <c r="L164" s="1">
        <v>76.9</v>
      </c>
      <c r="M164" s="1">
        <v>467.6</v>
      </c>
      <c r="N164" s="1">
        <v>6.1</v>
      </c>
      <c r="O164" s="1">
        <v>17.8</v>
      </c>
      <c r="P164" s="1">
        <v>6.5</v>
      </c>
      <c r="Q164" s="1">
        <v>1.8</v>
      </c>
      <c r="R164" s="1">
        <v>26.0</v>
      </c>
      <c r="S164" s="1">
        <v>7.1</v>
      </c>
      <c r="T164" s="1">
        <v>59.2</v>
      </c>
      <c r="U164" s="1">
        <v>0.2</v>
      </c>
      <c r="V164" s="1">
        <v>0.9</v>
      </c>
      <c r="W164" s="1">
        <v>1.2</v>
      </c>
      <c r="X164" s="1">
        <f t="array" ref="X164:AR164">XLOOKUP(MID(A164, SEARCH("+++", A164) + 3, LEN(A164)),'Defensive Data'!$A$2:$A$134,'Defensive Data'!$D$2:$X$134)</f>
        <v>19.5</v>
      </c>
      <c r="Y164" s="1">
        <v>30.8</v>
      </c>
      <c r="Z164" s="1">
        <v>63.1</v>
      </c>
      <c r="AA164" s="1">
        <v>220.7</v>
      </c>
      <c r="AB164" s="1">
        <v>1.8</v>
      </c>
      <c r="AC164" s="1">
        <v>30.0</v>
      </c>
      <c r="AD164" s="1">
        <v>122.2</v>
      </c>
      <c r="AE164" s="1">
        <v>4.1</v>
      </c>
      <c r="AF164" s="1">
        <v>1.2</v>
      </c>
      <c r="AG164" s="1">
        <v>60.8</v>
      </c>
      <c r="AH164" s="1">
        <v>342.8</v>
      </c>
      <c r="AI164" s="1">
        <v>5.6</v>
      </c>
      <c r="AJ164" s="1">
        <v>9.6</v>
      </c>
      <c r="AK164" s="1">
        <v>7.0</v>
      </c>
      <c r="AL164" s="1">
        <v>1.7</v>
      </c>
      <c r="AM164" s="1">
        <v>18.3</v>
      </c>
      <c r="AN164" s="1">
        <v>4.3</v>
      </c>
      <c r="AO164" s="1">
        <v>40.3</v>
      </c>
      <c r="AP164" s="1">
        <v>0.5</v>
      </c>
      <c r="AQ164" s="1">
        <v>0.4</v>
      </c>
      <c r="AR164" s="1">
        <v>0.8</v>
      </c>
    </row>
    <row r="165" ht="15.75" customHeight="1">
      <c r="A165" s="1" t="str">
        <f>CONCATENATE(Scores!A165,"+++",Scores!C165)</f>
        <v>Tennessee+++North Carolina State</v>
      </c>
      <c r="B165" s="1">
        <f>Scores!B165</f>
        <v>51</v>
      </c>
      <c r="C165" s="1">
        <f t="array" ref="C165:W165">XLOOKUP(LEFT(A165,SEARCH("+",A165)-1),'Offensive Data'!$A$2:$A$134,'Offensive Data'!$D$2:$X$134)</f>
        <v>18.2</v>
      </c>
      <c r="D165" s="1">
        <v>28.8</v>
      </c>
      <c r="E165" s="1">
        <v>63.1</v>
      </c>
      <c r="F165" s="1">
        <v>221.2</v>
      </c>
      <c r="G165" s="1">
        <v>1.6</v>
      </c>
      <c r="H165" s="1">
        <v>44.9</v>
      </c>
      <c r="I165" s="1">
        <v>225.8</v>
      </c>
      <c r="J165" s="1">
        <v>5.0</v>
      </c>
      <c r="K165" s="1">
        <v>2.6</v>
      </c>
      <c r="L165" s="1">
        <v>73.7</v>
      </c>
      <c r="M165" s="1">
        <v>447.0</v>
      </c>
      <c r="N165" s="1">
        <v>6.1</v>
      </c>
      <c r="O165" s="1">
        <v>10.4</v>
      </c>
      <c r="P165" s="1">
        <v>11.6</v>
      </c>
      <c r="Q165" s="1">
        <v>1.4</v>
      </c>
      <c r="R165" s="1">
        <v>23.4</v>
      </c>
      <c r="S165" s="1">
        <v>8.1</v>
      </c>
      <c r="T165" s="1">
        <v>66.8</v>
      </c>
      <c r="U165" s="1">
        <v>0.6</v>
      </c>
      <c r="V165" s="1">
        <v>0.5</v>
      </c>
      <c r="W165" s="1">
        <v>1.2</v>
      </c>
      <c r="X165" s="1">
        <f t="array" ref="X165:AR165">XLOOKUP(MID(A165, SEARCH("+++", A165) + 3, LEN(A165)),'Defensive Data'!$A$2:$A$134,'Defensive Data'!$D$2:$X$134)</f>
        <v>20.1</v>
      </c>
      <c r="Y165" s="1">
        <v>32.8</v>
      </c>
      <c r="Z165" s="1">
        <v>61.3</v>
      </c>
      <c r="AA165" s="1">
        <v>233.8</v>
      </c>
      <c r="AB165" s="1">
        <v>1.5</v>
      </c>
      <c r="AC165" s="1">
        <v>32.4</v>
      </c>
      <c r="AD165" s="1">
        <v>157.0</v>
      </c>
      <c r="AE165" s="1">
        <v>4.8</v>
      </c>
      <c r="AF165" s="1">
        <v>1.9</v>
      </c>
      <c r="AG165" s="1">
        <v>65.2</v>
      </c>
      <c r="AH165" s="1">
        <v>390.8</v>
      </c>
      <c r="AI165" s="1">
        <v>6.0</v>
      </c>
      <c r="AJ165" s="1">
        <v>10.2</v>
      </c>
      <c r="AK165" s="1">
        <v>7.7</v>
      </c>
      <c r="AL165" s="1">
        <v>1.5</v>
      </c>
      <c r="AM165" s="1">
        <v>19.5</v>
      </c>
      <c r="AN165" s="1">
        <v>6.2</v>
      </c>
      <c r="AO165" s="1">
        <v>55.2</v>
      </c>
      <c r="AP165" s="1">
        <v>0.8</v>
      </c>
      <c r="AQ165" s="1">
        <v>0.8</v>
      </c>
      <c r="AR165" s="1">
        <v>1.5</v>
      </c>
    </row>
    <row r="166" ht="15.75" customHeight="1">
      <c r="A166" s="1" t="str">
        <f>CONCATENATE(Scores!A166,"+++",Scores!C166)</f>
        <v>Texas+++Michigan</v>
      </c>
      <c r="B166" s="1">
        <f>Scores!B166</f>
        <v>31</v>
      </c>
      <c r="C166" s="1">
        <f t="array" ref="C166:W166">XLOOKUP(LEFT(A166,SEARCH("+",A166)-1),'Offensive Data'!$A$2:$A$134,'Offensive Data'!$D$2:$X$134)</f>
        <v>22.3</v>
      </c>
      <c r="D166" s="1">
        <v>33.8</v>
      </c>
      <c r="E166" s="1">
        <v>66.0</v>
      </c>
      <c r="F166" s="1">
        <v>278.8</v>
      </c>
      <c r="G166" s="1">
        <v>2.5</v>
      </c>
      <c r="H166" s="1">
        <v>36.6</v>
      </c>
      <c r="I166" s="1">
        <v>158.8</v>
      </c>
      <c r="J166" s="1">
        <v>4.3</v>
      </c>
      <c r="K166" s="1">
        <v>1.6</v>
      </c>
      <c r="L166" s="1">
        <v>70.4</v>
      </c>
      <c r="M166" s="1">
        <v>437.5</v>
      </c>
      <c r="N166" s="1">
        <v>6.2</v>
      </c>
      <c r="O166" s="1">
        <v>11.8</v>
      </c>
      <c r="P166" s="1">
        <v>8.6</v>
      </c>
      <c r="Q166" s="1">
        <v>1.8</v>
      </c>
      <c r="R166" s="1">
        <v>22.1</v>
      </c>
      <c r="S166" s="1">
        <v>6.4</v>
      </c>
      <c r="T166" s="1">
        <v>51.8</v>
      </c>
      <c r="U166" s="1">
        <v>0.8</v>
      </c>
      <c r="V166" s="1">
        <v>0.9</v>
      </c>
      <c r="W166" s="1">
        <v>1.6</v>
      </c>
      <c r="X166" s="1">
        <f t="array" ref="X166:AR166">XLOOKUP(MID(A166, SEARCH("+++", A166) + 3, LEN(A166)),'Defensive Data'!$A$2:$A$134,'Defensive Data'!$D$2:$X$134)</f>
        <v>20.2</v>
      </c>
      <c r="Y166" s="1">
        <v>33.5</v>
      </c>
      <c r="Z166" s="1">
        <v>60.1</v>
      </c>
      <c r="AA166" s="1">
        <v>216.3</v>
      </c>
      <c r="AB166" s="1">
        <v>1.5</v>
      </c>
      <c r="AC166" s="1">
        <v>29.6</v>
      </c>
      <c r="AD166" s="1">
        <v>90.7</v>
      </c>
      <c r="AE166" s="1">
        <v>3.1</v>
      </c>
      <c r="AF166" s="1">
        <v>0.8</v>
      </c>
      <c r="AG166" s="1">
        <v>63.2</v>
      </c>
      <c r="AH166" s="1">
        <v>307.0</v>
      </c>
      <c r="AI166" s="1">
        <v>4.9</v>
      </c>
      <c r="AJ166" s="1">
        <v>9.7</v>
      </c>
      <c r="AK166" s="1">
        <v>6.2</v>
      </c>
      <c r="AL166" s="1">
        <v>1.5</v>
      </c>
      <c r="AM166" s="1">
        <v>17.4</v>
      </c>
      <c r="AN166" s="1">
        <v>4.2</v>
      </c>
      <c r="AO166" s="1">
        <v>31.5</v>
      </c>
      <c r="AP166" s="1">
        <v>0.5</v>
      </c>
      <c r="AQ166" s="1">
        <v>0.9</v>
      </c>
      <c r="AR166" s="1">
        <v>1.4</v>
      </c>
    </row>
    <row r="167" ht="15.75" customHeight="1">
      <c r="A167" s="1" t="str">
        <f>CONCATENATE(Scores!A167,"+++",Scores!C167)</f>
        <v>Texas A&amp;M+++McNeese State</v>
      </c>
      <c r="B167" s="1">
        <f>Scores!B167</f>
        <v>52</v>
      </c>
      <c r="C167" s="1">
        <f t="array" ref="C167:W167">XLOOKUP(LEFT(A167,SEARCH("+",A167)-1),'Offensive Data'!$A$2:$A$134,'Offensive Data'!$D$2:$X$134)</f>
        <v>16.6</v>
      </c>
      <c r="D167" s="1">
        <v>27.8</v>
      </c>
      <c r="E167" s="1">
        <v>59.8</v>
      </c>
      <c r="F167" s="1">
        <v>210.3</v>
      </c>
      <c r="G167" s="1">
        <v>1.5</v>
      </c>
      <c r="H167" s="1">
        <v>40.5</v>
      </c>
      <c r="I167" s="1">
        <v>195.5</v>
      </c>
      <c r="J167" s="1">
        <v>4.8</v>
      </c>
      <c r="K167" s="1">
        <v>2.1</v>
      </c>
      <c r="L167" s="1">
        <v>68.2</v>
      </c>
      <c r="M167" s="1">
        <v>405.8</v>
      </c>
      <c r="N167" s="1">
        <v>5.9</v>
      </c>
      <c r="O167" s="1">
        <v>10.2</v>
      </c>
      <c r="P167" s="1">
        <v>9.7</v>
      </c>
      <c r="Q167" s="1">
        <v>1.6</v>
      </c>
      <c r="R167" s="1">
        <v>21.5</v>
      </c>
      <c r="S167" s="1">
        <v>7.5</v>
      </c>
      <c r="T167" s="1">
        <v>66.3</v>
      </c>
      <c r="U167" s="1">
        <v>0.3</v>
      </c>
      <c r="V167" s="1">
        <v>0.8</v>
      </c>
      <c r="W167" s="1">
        <v>1.2</v>
      </c>
      <c r="X167" s="1" t="str">
        <f t="array" ref="X167">XLOOKUP(MID(A167, SEARCH("+++", A167) + 3, LEN(A167)),'Defensive Data'!$A$2:$A$134,'Defensive Data'!$D$2:$X$134)</f>
        <v>#N/A</v>
      </c>
    </row>
    <row r="168" ht="15.75" customHeight="1">
      <c r="A168" s="1" t="str">
        <f>CONCATENATE(Scores!A168,"+++",Scores!C168)</f>
        <v>Texas Christian+++Long Island</v>
      </c>
      <c r="B168" s="1">
        <f>Scores!B168</f>
        <v>45</v>
      </c>
      <c r="C168" s="1" t="str">
        <f t="array" ref="C168">XLOOKUP(LEFT(A168,SEARCH("+",A168)-1),'Offensive Data'!$A$2:$A$134,'Offensive Data'!$D$2:$X$134)</f>
        <v>#N/A</v>
      </c>
      <c r="X168" s="1" t="str">
        <f t="array" ref="X168">XLOOKUP(MID(A168, SEARCH("+++", A168) + 3, LEN(A168)),'Defensive Data'!$A$2:$A$134,'Defensive Data'!$D$2:$X$134)</f>
        <v>#N/A</v>
      </c>
    </row>
    <row r="169" ht="15.75" customHeight="1">
      <c r="A169" s="1" t="str">
        <f>CONCATENATE(Scores!A169,"+++",Scores!C169)</f>
        <v>Texas State+++Texas-San Antonio</v>
      </c>
      <c r="B169" s="1">
        <f>Scores!B169</f>
        <v>49</v>
      </c>
      <c r="C169" s="1">
        <f t="array" ref="C169:W169">XLOOKUP(LEFT(A169,SEARCH("+",A169)-1),'Offensive Data'!$A$2:$A$134,'Offensive Data'!$D$2:$X$134)</f>
        <v>23</v>
      </c>
      <c r="D169" s="1">
        <v>32.9</v>
      </c>
      <c r="E169" s="1">
        <v>69.9</v>
      </c>
      <c r="F169" s="1">
        <v>268.7</v>
      </c>
      <c r="G169" s="1">
        <v>2.4</v>
      </c>
      <c r="H169" s="1">
        <v>40.7</v>
      </c>
      <c r="I169" s="1">
        <v>208.2</v>
      </c>
      <c r="J169" s="1">
        <v>5.1</v>
      </c>
      <c r="K169" s="1">
        <v>2.1</v>
      </c>
      <c r="L169" s="1">
        <v>73.6</v>
      </c>
      <c r="M169" s="1">
        <v>476.9</v>
      </c>
      <c r="N169" s="1">
        <v>6.5</v>
      </c>
      <c r="O169" s="1">
        <v>12.4</v>
      </c>
      <c r="P169" s="1">
        <v>12.1</v>
      </c>
      <c r="Q169" s="1">
        <v>1.6</v>
      </c>
      <c r="R169" s="1">
        <v>26.1</v>
      </c>
      <c r="S169" s="1">
        <v>6.8</v>
      </c>
      <c r="T169" s="1">
        <v>64.2</v>
      </c>
      <c r="U169" s="1">
        <v>0.7</v>
      </c>
      <c r="V169" s="1">
        <v>1.1</v>
      </c>
      <c r="W169" s="1">
        <v>1.8</v>
      </c>
      <c r="X169" s="1" t="str">
        <f t="array" ref="X169">XLOOKUP(MID(A169, SEARCH("+++", A169) + 3, LEN(A169)),'Defensive Data'!$A$2:$A$134,'Defensive Data'!$D$2:$X$134)</f>
        <v>#N/A</v>
      </c>
    </row>
    <row r="170" ht="15.75" customHeight="1">
      <c r="A170" s="1" t="str">
        <f>CONCATENATE(Scores!A170,"+++",Scores!C170)</f>
        <v>Toledo+++Massachusetts</v>
      </c>
      <c r="B170" s="1">
        <f>Scores!B170</f>
        <v>38</v>
      </c>
      <c r="C170" s="1">
        <f t="array" ref="C170:W170">XLOOKUP(LEFT(A170,SEARCH("+",A170)-1),'Offensive Data'!$A$2:$A$134,'Offensive Data'!$D$2:$X$134)</f>
        <v>21.2</v>
      </c>
      <c r="D170" s="1">
        <v>34.8</v>
      </c>
      <c r="E170" s="1">
        <v>60.9</v>
      </c>
      <c r="F170" s="1">
        <v>254.2</v>
      </c>
      <c r="G170" s="1">
        <v>2.2</v>
      </c>
      <c r="H170" s="1">
        <v>33.5</v>
      </c>
      <c r="I170" s="1">
        <v>115.7</v>
      </c>
      <c r="J170" s="1">
        <v>3.4</v>
      </c>
      <c r="K170" s="1">
        <v>1.0</v>
      </c>
      <c r="L170" s="1">
        <v>68.4</v>
      </c>
      <c r="M170" s="1">
        <v>369.9</v>
      </c>
      <c r="N170" s="1">
        <v>5.4</v>
      </c>
      <c r="O170" s="1">
        <v>11.1</v>
      </c>
      <c r="P170" s="1">
        <v>6.2</v>
      </c>
      <c r="Q170" s="1">
        <v>2.5</v>
      </c>
      <c r="R170" s="1">
        <v>19.8</v>
      </c>
      <c r="S170" s="1">
        <v>6.4</v>
      </c>
      <c r="T170" s="1">
        <v>56.8</v>
      </c>
      <c r="U170" s="1">
        <v>0.8</v>
      </c>
      <c r="V170" s="1">
        <v>0.6</v>
      </c>
      <c r="W170" s="1">
        <v>1.5</v>
      </c>
      <c r="X170" s="1">
        <f t="array" ref="X170:AR170">XLOOKUP(MID(A170, SEARCH("+++", A170) + 3, LEN(A170)),'Defensive Data'!$A$2:$A$134,'Defensive Data'!$D$2:$X$134)</f>
        <v>13</v>
      </c>
      <c r="Y170" s="1">
        <v>22.4</v>
      </c>
      <c r="Z170" s="1">
        <v>58.0</v>
      </c>
      <c r="AA170" s="1">
        <v>176.6</v>
      </c>
      <c r="AB170" s="1">
        <v>1.6</v>
      </c>
      <c r="AC170" s="1">
        <v>37.8</v>
      </c>
      <c r="AD170" s="1">
        <v>197.9</v>
      </c>
      <c r="AE170" s="1">
        <v>5.2</v>
      </c>
      <c r="AF170" s="1">
        <v>2.7</v>
      </c>
      <c r="AG170" s="1">
        <v>60.3</v>
      </c>
      <c r="AH170" s="1">
        <v>374.5</v>
      </c>
      <c r="AI170" s="1">
        <v>6.2</v>
      </c>
      <c r="AJ170" s="1">
        <v>7.4</v>
      </c>
      <c r="AK170" s="1">
        <v>10.6</v>
      </c>
      <c r="AL170" s="1">
        <v>2.3</v>
      </c>
      <c r="AM170" s="1">
        <v>20.3</v>
      </c>
      <c r="AN170" s="1">
        <v>6.0</v>
      </c>
      <c r="AO170" s="1">
        <v>53.3</v>
      </c>
      <c r="AP170" s="1">
        <v>0.3</v>
      </c>
      <c r="AQ170" s="1">
        <v>0.5</v>
      </c>
      <c r="AR170" s="1">
        <v>0.8</v>
      </c>
    </row>
    <row r="171" ht="15.75" customHeight="1">
      <c r="A171" s="1" t="str">
        <f>CONCATENATE(Scores!A171,"+++",Scores!C171)</f>
        <v>Utah+++Baylor</v>
      </c>
      <c r="B171" s="1">
        <f>Scores!B171</f>
        <v>23</v>
      </c>
      <c r="C171" s="1">
        <f t="array" ref="C171:W171">XLOOKUP(LEFT(A171,SEARCH("+",A171)-1),'Offensive Data'!$A$2:$A$134,'Offensive Data'!$D$2:$X$134)</f>
        <v>16.6</v>
      </c>
      <c r="D171" s="1">
        <v>29.8</v>
      </c>
      <c r="E171" s="1">
        <v>55.6</v>
      </c>
      <c r="F171" s="1">
        <v>199.4</v>
      </c>
      <c r="G171" s="1">
        <v>1.7</v>
      </c>
      <c r="H171" s="1">
        <v>33.6</v>
      </c>
      <c r="I171" s="1">
        <v>130.4</v>
      </c>
      <c r="J171" s="1">
        <v>3.9</v>
      </c>
      <c r="K171" s="1">
        <v>0.6</v>
      </c>
      <c r="L171" s="1">
        <v>63.4</v>
      </c>
      <c r="M171" s="1">
        <v>329.8</v>
      </c>
      <c r="N171" s="1">
        <v>5.2</v>
      </c>
      <c r="O171" s="1">
        <v>8.6</v>
      </c>
      <c r="P171" s="1">
        <v>6.8</v>
      </c>
      <c r="Q171" s="1">
        <v>1.3</v>
      </c>
      <c r="R171" s="1">
        <v>16.6</v>
      </c>
      <c r="S171" s="1">
        <v>5.4</v>
      </c>
      <c r="T171" s="1">
        <v>46.3</v>
      </c>
      <c r="U171" s="1">
        <v>0.4</v>
      </c>
      <c r="V171" s="1">
        <v>1.4</v>
      </c>
      <c r="W171" s="1">
        <v>1.8</v>
      </c>
      <c r="X171" s="1">
        <f t="array" ref="X171:AR171">XLOOKUP(MID(A171, SEARCH("+++", A171) + 3, LEN(A171)),'Defensive Data'!$A$2:$A$134,'Defensive Data'!$D$2:$X$134)</f>
        <v>18.2</v>
      </c>
      <c r="Y171" s="1">
        <v>30.2</v>
      </c>
      <c r="Z171" s="1">
        <v>60.3</v>
      </c>
      <c r="AA171" s="1">
        <v>234.2</v>
      </c>
      <c r="AB171" s="1">
        <v>1.7</v>
      </c>
      <c r="AC171" s="1">
        <v>37.8</v>
      </c>
      <c r="AD171" s="1">
        <v>152.0</v>
      </c>
      <c r="AE171" s="1">
        <v>4.0</v>
      </c>
      <c r="AF171" s="1">
        <v>1.2</v>
      </c>
      <c r="AG171" s="1">
        <v>68.0</v>
      </c>
      <c r="AH171" s="1">
        <v>386.2</v>
      </c>
      <c r="AI171" s="1">
        <v>5.7</v>
      </c>
      <c r="AJ171" s="1">
        <v>10.3</v>
      </c>
      <c r="AK171" s="1">
        <v>8.0</v>
      </c>
      <c r="AL171" s="1">
        <v>2.2</v>
      </c>
      <c r="AM171" s="1">
        <v>20.5</v>
      </c>
      <c r="AN171" s="1">
        <v>5.6</v>
      </c>
      <c r="AO171" s="1">
        <v>49.8</v>
      </c>
      <c r="AP171" s="1">
        <v>0.5</v>
      </c>
      <c r="AQ171" s="1">
        <v>1.1</v>
      </c>
      <c r="AR171" s="1">
        <v>1.6</v>
      </c>
    </row>
    <row r="172" ht="15.75" customHeight="1">
      <c r="A172" s="1" t="str">
        <f>CONCATENATE(Scores!A172,"+++",Scores!C172)</f>
        <v>Vanderbilt+++Alcorn State</v>
      </c>
      <c r="B172" s="1">
        <f>Scores!B172</f>
        <v>55</v>
      </c>
      <c r="C172" s="1">
        <f t="array" ref="C172:W172">XLOOKUP(LEFT(A172,SEARCH("+",A172)-1),'Offensive Data'!$A$2:$A$134,'Offensive Data'!$D$2:$X$134)</f>
        <v>13.8</v>
      </c>
      <c r="D172" s="1">
        <v>23.4</v>
      </c>
      <c r="E172" s="1">
        <v>58.9</v>
      </c>
      <c r="F172" s="1">
        <v>178.6</v>
      </c>
      <c r="G172" s="1">
        <v>1.6</v>
      </c>
      <c r="H172" s="1">
        <v>36.5</v>
      </c>
      <c r="I172" s="1">
        <v>139.8</v>
      </c>
      <c r="J172" s="1">
        <v>3.8</v>
      </c>
      <c r="K172" s="1">
        <v>1.4</v>
      </c>
      <c r="L172" s="1">
        <v>59.9</v>
      </c>
      <c r="M172" s="1">
        <v>318.4</v>
      </c>
      <c r="N172" s="1">
        <v>5.3</v>
      </c>
      <c r="O172" s="1">
        <v>8.2</v>
      </c>
      <c r="P172" s="1">
        <v>8.1</v>
      </c>
      <c r="Q172" s="1">
        <v>1.9</v>
      </c>
      <c r="R172" s="1">
        <v>18.2</v>
      </c>
      <c r="S172" s="1">
        <v>5.6</v>
      </c>
      <c r="T172" s="1">
        <v>54.4</v>
      </c>
      <c r="U172" s="1">
        <v>0.2</v>
      </c>
      <c r="V172" s="1">
        <v>0.3</v>
      </c>
      <c r="W172" s="1">
        <v>0.5</v>
      </c>
      <c r="X172" s="1" t="str">
        <f t="array" ref="X172">XLOOKUP(MID(A172, SEARCH("+++", A172) + 3, LEN(A172)),'Defensive Data'!$A$2:$A$134,'Defensive Data'!$D$2:$X$134)</f>
        <v>#N/A</v>
      </c>
    </row>
    <row r="173" ht="15.75" customHeight="1">
      <c r="A173" s="1" t="str">
        <f>CONCATENATE(Scores!A173,"+++",Scores!C173)</f>
        <v>Virginia+++Wake Forest</v>
      </c>
      <c r="B173" s="1">
        <f>Scores!B173</f>
        <v>31</v>
      </c>
      <c r="C173" s="1">
        <f t="array" ref="C173:W173">XLOOKUP(LEFT(A173,SEARCH("+",A173)-1),'Offensive Data'!$A$2:$A$134,'Offensive Data'!$D$2:$X$134)</f>
        <v>20.5</v>
      </c>
      <c r="D173" s="1">
        <v>33.4</v>
      </c>
      <c r="E173" s="1">
        <v>61.3</v>
      </c>
      <c r="F173" s="1">
        <v>229.0</v>
      </c>
      <c r="G173" s="1">
        <v>1.3</v>
      </c>
      <c r="H173" s="1">
        <v>36.0</v>
      </c>
      <c r="I173" s="1">
        <v>131.9</v>
      </c>
      <c r="J173" s="1">
        <v>3.7</v>
      </c>
      <c r="K173" s="1">
        <v>1.2</v>
      </c>
      <c r="L173" s="1">
        <v>69.4</v>
      </c>
      <c r="M173" s="1">
        <v>360.9</v>
      </c>
      <c r="N173" s="1">
        <v>5.2</v>
      </c>
      <c r="O173" s="1">
        <v>9.7</v>
      </c>
      <c r="P173" s="1">
        <v>8.3</v>
      </c>
      <c r="Q173" s="1">
        <v>1.6</v>
      </c>
      <c r="R173" s="1">
        <v>19.5</v>
      </c>
      <c r="S173" s="1">
        <v>5.2</v>
      </c>
      <c r="T173" s="1">
        <v>45.3</v>
      </c>
      <c r="U173" s="1">
        <v>0.4</v>
      </c>
      <c r="V173" s="1">
        <v>1.2</v>
      </c>
      <c r="W173" s="1">
        <v>1.6</v>
      </c>
      <c r="X173" s="1">
        <f t="array" ref="X173:AR173">XLOOKUP(MID(A173, SEARCH("+++", A173) + 3, LEN(A173)),'Defensive Data'!$A$2:$A$134,'Defensive Data'!$D$2:$X$134)</f>
        <v>26.7</v>
      </c>
      <c r="Y173" s="1">
        <v>37.9</v>
      </c>
      <c r="Z173" s="1">
        <v>70.3</v>
      </c>
      <c r="AA173" s="1">
        <v>277.8</v>
      </c>
      <c r="AB173" s="1">
        <v>1.9</v>
      </c>
      <c r="AC173" s="1">
        <v>34.5</v>
      </c>
      <c r="AD173" s="1">
        <v>157.2</v>
      </c>
      <c r="AE173" s="1">
        <v>4.6</v>
      </c>
      <c r="AF173" s="1">
        <v>1.7</v>
      </c>
      <c r="AG173" s="1">
        <v>72.4</v>
      </c>
      <c r="AH173" s="1">
        <v>435.0</v>
      </c>
      <c r="AI173" s="1">
        <v>6.0</v>
      </c>
      <c r="AJ173" s="1">
        <v>14.2</v>
      </c>
      <c r="AK173" s="1">
        <v>10.1</v>
      </c>
      <c r="AL173" s="1">
        <v>1.2</v>
      </c>
      <c r="AM173" s="1">
        <v>25.4</v>
      </c>
      <c r="AN173" s="1">
        <v>6.2</v>
      </c>
      <c r="AO173" s="1">
        <v>58.5</v>
      </c>
      <c r="AP173" s="1">
        <v>0.5</v>
      </c>
      <c r="AQ173" s="1">
        <v>0.9</v>
      </c>
      <c r="AR173" s="1">
        <v>1.4</v>
      </c>
    </row>
    <row r="174" ht="15.75" customHeight="1">
      <c r="A174" s="1" t="str">
        <f>CONCATENATE(Scores!A174,"+++",Scores!C174)</f>
        <v>Virginia Tech+++Marshall</v>
      </c>
      <c r="B174" s="1">
        <f>Scores!B174</f>
        <v>31</v>
      </c>
      <c r="C174" s="1">
        <f t="array" ref="C174:W174">XLOOKUP(LEFT(A174,SEARCH("+",A174)-1),'Offensive Data'!$A$2:$A$134,'Offensive Data'!$D$2:$X$134)</f>
        <v>15.4</v>
      </c>
      <c r="D174" s="1">
        <v>26.1</v>
      </c>
      <c r="E174" s="1">
        <v>59.0</v>
      </c>
      <c r="F174" s="1">
        <v>189.4</v>
      </c>
      <c r="G174" s="1">
        <v>1.2</v>
      </c>
      <c r="H174" s="1">
        <v>37.8</v>
      </c>
      <c r="I174" s="1">
        <v>178.4</v>
      </c>
      <c r="J174" s="1">
        <v>4.7</v>
      </c>
      <c r="K174" s="1">
        <v>2.2</v>
      </c>
      <c r="L174" s="1">
        <v>63.9</v>
      </c>
      <c r="M174" s="1">
        <v>367.8</v>
      </c>
      <c r="N174" s="1">
        <v>5.8</v>
      </c>
      <c r="O174" s="1">
        <v>7.8</v>
      </c>
      <c r="P174" s="1">
        <v>8.8</v>
      </c>
      <c r="Q174" s="1">
        <v>1.9</v>
      </c>
      <c r="R174" s="1">
        <v>18.5</v>
      </c>
      <c r="S174" s="1">
        <v>5.7</v>
      </c>
      <c r="T174" s="1">
        <v>48.8</v>
      </c>
      <c r="U174" s="1">
        <v>0.6</v>
      </c>
      <c r="V174" s="1">
        <v>0.7</v>
      </c>
      <c r="W174" s="1">
        <v>1.3</v>
      </c>
      <c r="X174" s="1">
        <f t="array" ref="X174:AR174">XLOOKUP(MID(A174, SEARCH("+++", A174) + 3, LEN(A174)),'Defensive Data'!$A$2:$A$134,'Defensive Data'!$D$2:$X$134)</f>
        <v>16.8</v>
      </c>
      <c r="Y174" s="1">
        <v>29.4</v>
      </c>
      <c r="Z174" s="1">
        <v>57.3</v>
      </c>
      <c r="AA174" s="1">
        <v>199.1</v>
      </c>
      <c r="AB174" s="1">
        <v>1.2</v>
      </c>
      <c r="AC174" s="1">
        <v>40.5</v>
      </c>
      <c r="AD174" s="1">
        <v>179.0</v>
      </c>
      <c r="AE174" s="1">
        <v>4.4</v>
      </c>
      <c r="AF174" s="1">
        <v>1.6</v>
      </c>
      <c r="AG174" s="1">
        <v>69.9</v>
      </c>
      <c r="AH174" s="1">
        <v>378.1</v>
      </c>
      <c r="AI174" s="1">
        <v>5.4</v>
      </c>
      <c r="AJ174" s="1">
        <v>9.1</v>
      </c>
      <c r="AK174" s="1">
        <v>9.2</v>
      </c>
      <c r="AL174" s="1">
        <v>1.5</v>
      </c>
      <c r="AM174" s="1">
        <v>19.8</v>
      </c>
      <c r="AN174" s="1">
        <v>7.0</v>
      </c>
      <c r="AO174" s="1">
        <v>61.4</v>
      </c>
      <c r="AP174" s="1">
        <v>0.5</v>
      </c>
      <c r="AQ174" s="1">
        <v>1.0</v>
      </c>
      <c r="AR174" s="1">
        <v>1.5</v>
      </c>
    </row>
    <row r="175" ht="15.75" customHeight="1">
      <c r="A175" s="1" t="str">
        <f>CONCATENATE(Scores!A175,"+++",Scores!C175)</f>
        <v>Washington+++Eastern Michigan</v>
      </c>
      <c r="B175" s="1">
        <f>Scores!B175</f>
        <v>30</v>
      </c>
      <c r="C175" s="1">
        <f t="array" ref="C175:W175">XLOOKUP(LEFT(A175,SEARCH("+",A175)-1),'Offensive Data'!$A$2:$A$134,'Offensive Data'!$D$2:$X$134)</f>
        <v>23.2</v>
      </c>
      <c r="D175" s="1">
        <v>32.1</v>
      </c>
      <c r="E175" s="1">
        <v>72.4</v>
      </c>
      <c r="F175" s="1">
        <v>261.7</v>
      </c>
      <c r="G175" s="1">
        <v>1.7</v>
      </c>
      <c r="H175" s="1">
        <v>32.5</v>
      </c>
      <c r="I175" s="1">
        <v>128.8</v>
      </c>
      <c r="J175" s="1">
        <v>4.0</v>
      </c>
      <c r="K175" s="1">
        <v>1.1</v>
      </c>
      <c r="L175" s="1">
        <v>64.6</v>
      </c>
      <c r="M175" s="1">
        <v>390.5</v>
      </c>
      <c r="N175" s="1">
        <v>6.0</v>
      </c>
      <c r="O175" s="1">
        <v>11.5</v>
      </c>
      <c r="P175" s="1">
        <v>8.0</v>
      </c>
      <c r="Q175" s="1">
        <v>1.2</v>
      </c>
      <c r="R175" s="1">
        <v>20.7</v>
      </c>
      <c r="S175" s="1">
        <v>5.8</v>
      </c>
      <c r="T175" s="1">
        <v>51.8</v>
      </c>
      <c r="U175" s="1">
        <v>0.3</v>
      </c>
      <c r="V175" s="1">
        <v>0.6</v>
      </c>
      <c r="W175" s="1">
        <v>0.9</v>
      </c>
      <c r="X175" s="1">
        <f t="array" ref="X175:AR175">XLOOKUP(MID(A175, SEARCH("+++", A175) + 3, LEN(A175)),'Defensive Data'!$A$2:$A$134,'Defensive Data'!$D$2:$X$134)</f>
        <v>16.4</v>
      </c>
      <c r="Y175" s="1">
        <v>25.8</v>
      </c>
      <c r="Z175" s="1">
        <v>63.8</v>
      </c>
      <c r="AA175" s="1">
        <v>220.9</v>
      </c>
      <c r="AB175" s="1">
        <v>1.8</v>
      </c>
      <c r="AC175" s="1">
        <v>36.3</v>
      </c>
      <c r="AD175" s="1">
        <v>162.8</v>
      </c>
      <c r="AE175" s="1">
        <v>4.5</v>
      </c>
      <c r="AF175" s="1">
        <v>1.6</v>
      </c>
      <c r="AG175" s="1">
        <v>62.1</v>
      </c>
      <c r="AH175" s="1">
        <v>383.8</v>
      </c>
      <c r="AI175" s="1">
        <v>6.2</v>
      </c>
      <c r="AJ175" s="1">
        <v>8.3</v>
      </c>
      <c r="AK175" s="1">
        <v>8.6</v>
      </c>
      <c r="AL175" s="1">
        <v>2.8</v>
      </c>
      <c r="AM175" s="1">
        <v>19.7</v>
      </c>
      <c r="AN175" s="1">
        <v>7.3</v>
      </c>
      <c r="AO175" s="1">
        <v>64.6</v>
      </c>
      <c r="AP175" s="1">
        <v>0.8</v>
      </c>
      <c r="AQ175" s="1">
        <v>0.4</v>
      </c>
      <c r="AR175" s="1">
        <v>1.3</v>
      </c>
    </row>
    <row r="176" ht="15.75" customHeight="1">
      <c r="A176" s="1" t="str">
        <f>CONCATENATE(Scores!A176,"+++",Scores!C176)</f>
        <v>Washington State+++Texas Tech</v>
      </c>
      <c r="B176" s="1">
        <f>Scores!B176</f>
        <v>37</v>
      </c>
      <c r="C176" s="1">
        <f t="array" ref="C176:W176">XLOOKUP(LEFT(A176,SEARCH("+",A176)-1),'Offensive Data'!$A$2:$A$134,'Offensive Data'!$D$2:$X$134)</f>
        <v>20.2</v>
      </c>
      <c r="D176" s="1">
        <v>30.7</v>
      </c>
      <c r="E176" s="1">
        <v>65.9</v>
      </c>
      <c r="F176" s="1">
        <v>276.1</v>
      </c>
      <c r="G176" s="1">
        <v>2.5</v>
      </c>
      <c r="H176" s="1">
        <v>36.2</v>
      </c>
      <c r="I176" s="1">
        <v>166.8</v>
      </c>
      <c r="J176" s="1">
        <v>4.6</v>
      </c>
      <c r="K176" s="1">
        <v>2.2</v>
      </c>
      <c r="L176" s="1">
        <v>66.8</v>
      </c>
      <c r="M176" s="1">
        <v>442.8</v>
      </c>
      <c r="N176" s="1">
        <v>6.6</v>
      </c>
      <c r="O176" s="1">
        <v>11.8</v>
      </c>
      <c r="P176" s="1">
        <v>9.1</v>
      </c>
      <c r="Q176" s="1">
        <v>2.0</v>
      </c>
      <c r="R176" s="1">
        <v>22.9</v>
      </c>
      <c r="S176" s="1">
        <v>6.2</v>
      </c>
      <c r="T176" s="1">
        <v>57.8</v>
      </c>
      <c r="U176" s="1">
        <v>0.4</v>
      </c>
      <c r="V176" s="1">
        <v>0.7</v>
      </c>
      <c r="W176" s="1">
        <v>1.1</v>
      </c>
      <c r="X176" s="1">
        <f t="array" ref="X176:AR176">XLOOKUP(MID(A176, SEARCH("+++", A176) + 3, LEN(A176)),'Defensive Data'!$A$2:$A$134,'Defensive Data'!$D$2:$X$134)</f>
        <v>23.4</v>
      </c>
      <c r="Y176" s="1">
        <v>36.5</v>
      </c>
      <c r="Z176" s="1">
        <v>64.0</v>
      </c>
      <c r="AA176" s="1">
        <v>308.1</v>
      </c>
      <c r="AB176" s="1">
        <v>2.2</v>
      </c>
      <c r="AC176" s="1">
        <v>34.1</v>
      </c>
      <c r="AD176" s="1">
        <v>152.1</v>
      </c>
      <c r="AE176" s="1">
        <v>4.5</v>
      </c>
      <c r="AF176" s="1">
        <v>2.2</v>
      </c>
      <c r="AG176" s="1">
        <v>70.6</v>
      </c>
      <c r="AH176" s="1">
        <v>460.2</v>
      </c>
      <c r="AI176" s="1">
        <v>6.5</v>
      </c>
      <c r="AJ176" s="1">
        <v>13.5</v>
      </c>
      <c r="AK176" s="1">
        <v>7.6</v>
      </c>
      <c r="AL176" s="1">
        <v>2.1</v>
      </c>
      <c r="AM176" s="1">
        <v>23.2</v>
      </c>
      <c r="AN176" s="1">
        <v>6.5</v>
      </c>
      <c r="AO176" s="1">
        <v>54.3</v>
      </c>
      <c r="AP176" s="1">
        <v>0.6</v>
      </c>
      <c r="AQ176" s="1">
        <v>1.1</v>
      </c>
      <c r="AR176" s="1">
        <v>1.7</v>
      </c>
    </row>
    <row r="177" ht="15.75" customHeight="1">
      <c r="A177" s="1" t="str">
        <f>CONCATENATE(Scores!A177,"+++",Scores!C177)</f>
        <v>West Virginia+++Albany</v>
      </c>
      <c r="B177" s="1">
        <f>Scores!B177</f>
        <v>49</v>
      </c>
      <c r="C177" s="1">
        <f t="array" ref="C177:W177">XLOOKUP(LEFT(A177,SEARCH("+",A177)-1),'Offensive Data'!$A$2:$A$134,'Offensive Data'!$D$2:$X$134)</f>
        <v>17.4</v>
      </c>
      <c r="D177" s="1">
        <v>28.5</v>
      </c>
      <c r="E177" s="1">
        <v>60.9</v>
      </c>
      <c r="F177" s="1">
        <v>210.3</v>
      </c>
      <c r="G177" s="1">
        <v>1.5</v>
      </c>
      <c r="H177" s="1">
        <v>40.7</v>
      </c>
      <c r="I177" s="1">
        <v>193.7</v>
      </c>
      <c r="J177" s="1">
        <v>4.8</v>
      </c>
      <c r="K177" s="1">
        <v>2.1</v>
      </c>
      <c r="L177" s="1">
        <v>69.2</v>
      </c>
      <c r="M177" s="1">
        <v>404.0</v>
      </c>
      <c r="N177" s="1">
        <v>5.8</v>
      </c>
      <c r="O177" s="1">
        <v>9.8</v>
      </c>
      <c r="P177" s="1">
        <v>10.8</v>
      </c>
      <c r="Q177" s="1">
        <v>1.9</v>
      </c>
      <c r="R177" s="1">
        <v>22.6</v>
      </c>
      <c r="S177" s="1">
        <v>4.4</v>
      </c>
      <c r="T177" s="1">
        <v>34.3</v>
      </c>
      <c r="U177" s="1">
        <v>0.4</v>
      </c>
      <c r="V177" s="1">
        <v>1.1</v>
      </c>
      <c r="W177" s="1">
        <v>1.5</v>
      </c>
      <c r="X177" s="1" t="str">
        <f t="array" ref="X177">XLOOKUP(MID(A177, SEARCH("+++", A177) + 3, LEN(A177)),'Defensive Data'!$A$2:$A$134,'Defensive Data'!$D$2:$X$134)</f>
        <v>#N/A</v>
      </c>
    </row>
    <row r="178" ht="15.75" customHeight="1">
      <c r="A178" s="1" t="str">
        <f>CONCATENATE(Scores!A178,"+++",Scores!C178)</f>
        <v>Western Kentucky+++Eastern Kentucky</v>
      </c>
      <c r="B178" s="1">
        <f>Scores!B178</f>
        <v>31</v>
      </c>
      <c r="C178" s="1">
        <f t="array" ref="C178:W178">XLOOKUP(LEFT(A178,SEARCH("+",A178)-1),'Offensive Data'!$A$2:$A$134,'Offensive Data'!$D$2:$X$134)</f>
        <v>22.1</v>
      </c>
      <c r="D178" s="1">
        <v>33.6</v>
      </c>
      <c r="E178" s="1">
        <v>65.7</v>
      </c>
      <c r="F178" s="1">
        <v>264.6</v>
      </c>
      <c r="G178" s="1">
        <v>2.0</v>
      </c>
      <c r="H178" s="1">
        <v>31.4</v>
      </c>
      <c r="I178" s="1">
        <v>108.9</v>
      </c>
      <c r="J178" s="1">
        <v>3.5</v>
      </c>
      <c r="K178" s="1">
        <v>1.0</v>
      </c>
      <c r="L178" s="1">
        <v>65.0</v>
      </c>
      <c r="M178" s="1">
        <v>373.5</v>
      </c>
      <c r="N178" s="1">
        <v>5.7</v>
      </c>
      <c r="O178" s="1">
        <v>11.5</v>
      </c>
      <c r="P178" s="1">
        <v>6.4</v>
      </c>
      <c r="Q178" s="1">
        <v>1.4</v>
      </c>
      <c r="R178" s="1">
        <v>19.3</v>
      </c>
      <c r="S178" s="1">
        <v>4.1</v>
      </c>
      <c r="T178" s="1">
        <v>41.3</v>
      </c>
      <c r="U178" s="1">
        <v>0.9</v>
      </c>
      <c r="V178" s="1">
        <v>0.9</v>
      </c>
      <c r="W178" s="1">
        <v>1.7</v>
      </c>
      <c r="X178" s="1" t="str">
        <f t="array" ref="X178">XLOOKUP(MID(A178, SEARCH("+++", A178) + 3, LEN(A178)),'Defensive Data'!$A$2:$A$134,'Defensive Data'!$D$2:$X$134)</f>
        <v>#N/A</v>
      </c>
    </row>
    <row r="179" ht="15.75" customHeight="1">
      <c r="A179" s="1" t="str">
        <f>CONCATENATE(Scores!A179,"+++",Scores!C179)</f>
        <v>Wisconsin+++South Dakota</v>
      </c>
      <c r="B179" s="1">
        <f>Scores!B179</f>
        <v>27</v>
      </c>
      <c r="C179" s="1">
        <f t="array" ref="C179:W179">XLOOKUP(LEFT(A179,SEARCH("+",A179)-1),'Offensive Data'!$A$2:$A$134,'Offensive Data'!$D$2:$X$134)</f>
        <v>17.3</v>
      </c>
      <c r="D179" s="1">
        <v>30.4</v>
      </c>
      <c r="E179" s="1">
        <v>57.0</v>
      </c>
      <c r="F179" s="1">
        <v>196.7</v>
      </c>
      <c r="G179" s="1">
        <v>1.2</v>
      </c>
      <c r="H179" s="1">
        <v>35.2</v>
      </c>
      <c r="I179" s="1">
        <v>153.7</v>
      </c>
      <c r="J179" s="1">
        <v>4.4</v>
      </c>
      <c r="K179" s="1">
        <v>1.6</v>
      </c>
      <c r="L179" s="1">
        <v>65.6</v>
      </c>
      <c r="M179" s="1">
        <v>350.3</v>
      </c>
      <c r="N179" s="1">
        <v>5.3</v>
      </c>
      <c r="O179" s="1">
        <v>8.2</v>
      </c>
      <c r="P179" s="1">
        <v>8.7</v>
      </c>
      <c r="Q179" s="1">
        <v>1.9</v>
      </c>
      <c r="R179" s="1">
        <v>18.8</v>
      </c>
      <c r="S179" s="1">
        <v>5.3</v>
      </c>
      <c r="T179" s="1">
        <v>37.5</v>
      </c>
      <c r="U179" s="1">
        <v>0.7</v>
      </c>
      <c r="V179" s="1">
        <v>0.8</v>
      </c>
      <c r="W179" s="1">
        <v>1.5</v>
      </c>
      <c r="X179" s="1" t="str">
        <f t="array" ref="X179">XLOOKUP(MID(A179, SEARCH("+++", A179) + 3, LEN(A179)),'Defensive Data'!$A$2:$A$134,'Defensive Data'!$D$2:$X$134)</f>
        <v>#N/A</v>
      </c>
    </row>
    <row r="180" ht="15.75" customHeight="1">
      <c r="A180" s="1" t="str">
        <f>CONCATENATE(Scores!A180,"+++",Scores!C180)</f>
        <v>Arizona State+++Texas State</v>
      </c>
      <c r="B180" s="1">
        <f>Scores!B180</f>
        <v>31</v>
      </c>
      <c r="C180" s="1">
        <f t="array" ref="C180:W180">XLOOKUP(LEFT(A180,SEARCH("+",A180)-1),'Offensive Data'!$A$2:$A$134,'Offensive Data'!$D$2:$X$134)</f>
        <v>16.7</v>
      </c>
      <c r="D180" s="1">
        <v>27.3</v>
      </c>
      <c r="E180" s="1">
        <v>61.3</v>
      </c>
      <c r="F180" s="1">
        <v>229.5</v>
      </c>
      <c r="G180" s="1">
        <v>1.9</v>
      </c>
      <c r="H180" s="1">
        <v>42.2</v>
      </c>
      <c r="I180" s="1">
        <v>199.9</v>
      </c>
      <c r="J180" s="1">
        <v>4.7</v>
      </c>
      <c r="K180" s="1">
        <v>2.1</v>
      </c>
      <c r="L180" s="1">
        <v>69.5</v>
      </c>
      <c r="M180" s="1">
        <v>429.4</v>
      </c>
      <c r="N180" s="1">
        <v>6.2</v>
      </c>
      <c r="O180" s="1">
        <v>9.6</v>
      </c>
      <c r="P180" s="1">
        <v>11.1</v>
      </c>
      <c r="Q180" s="1">
        <v>1.8</v>
      </c>
      <c r="R180" s="1">
        <v>22.5</v>
      </c>
      <c r="S180" s="1">
        <v>6.4</v>
      </c>
      <c r="T180" s="1">
        <v>53.6</v>
      </c>
      <c r="U180" s="1">
        <v>0.2</v>
      </c>
      <c r="V180" s="1">
        <v>0.4</v>
      </c>
      <c r="W180" s="1">
        <v>0.6</v>
      </c>
      <c r="X180" s="1">
        <f t="array" ref="X180:AR180">XLOOKUP(MID(A180, SEARCH("+++", A180) + 3, LEN(A180)),'Defensive Data'!$A$2:$A$134,'Defensive Data'!$D$2:$X$134)</f>
        <v>17.7</v>
      </c>
      <c r="Y180" s="1">
        <v>30.8</v>
      </c>
      <c r="Z180" s="1">
        <v>57.4</v>
      </c>
      <c r="AA180" s="1">
        <v>214.6</v>
      </c>
      <c r="AB180" s="1">
        <v>1.0</v>
      </c>
      <c r="AC180" s="1">
        <v>36.8</v>
      </c>
      <c r="AD180" s="1">
        <v>143.0</v>
      </c>
      <c r="AE180" s="1">
        <v>3.9</v>
      </c>
      <c r="AF180" s="1">
        <v>1.8</v>
      </c>
      <c r="AG180" s="1">
        <v>67.6</v>
      </c>
      <c r="AH180" s="1">
        <v>357.6</v>
      </c>
      <c r="AI180" s="1">
        <v>5.3</v>
      </c>
      <c r="AJ180" s="1">
        <v>9.7</v>
      </c>
      <c r="AK180" s="1">
        <v>7.8</v>
      </c>
      <c r="AL180" s="1">
        <v>2.2</v>
      </c>
      <c r="AM180" s="1">
        <v>19.7</v>
      </c>
      <c r="AN180" s="1">
        <v>6.3</v>
      </c>
      <c r="AO180" s="1">
        <v>48.6</v>
      </c>
      <c r="AP180" s="1">
        <v>0.7</v>
      </c>
      <c r="AQ180" s="1">
        <v>0.7</v>
      </c>
      <c r="AR180" s="1">
        <v>1.4</v>
      </c>
    </row>
    <row r="181" ht="15.75" customHeight="1">
      <c r="A181" s="1" t="str">
        <f>CONCATENATE(Scores!A181,"+++",Scores!C181)</f>
        <v>South Alabama+++Northwestern State</v>
      </c>
      <c r="B181" s="1">
        <f>Scores!B181</f>
        <v>87</v>
      </c>
      <c r="C181" s="1">
        <f t="array" ref="C181:W181">XLOOKUP(LEFT(A181,SEARCH("+",A181)-1),'Offensive Data'!$A$2:$A$134,'Offensive Data'!$D$2:$X$134)</f>
        <v>19.5</v>
      </c>
      <c r="D181" s="1">
        <v>30.1</v>
      </c>
      <c r="E181" s="1">
        <v>65.0</v>
      </c>
      <c r="F181" s="1">
        <v>243.5</v>
      </c>
      <c r="G181" s="1">
        <v>1.6</v>
      </c>
      <c r="H181" s="1">
        <v>34.5</v>
      </c>
      <c r="I181" s="1">
        <v>198.7</v>
      </c>
      <c r="J181" s="1">
        <v>5.8</v>
      </c>
      <c r="K181" s="1">
        <v>2.5</v>
      </c>
      <c r="L181" s="1">
        <v>64.6</v>
      </c>
      <c r="M181" s="1">
        <v>442.2</v>
      </c>
      <c r="N181" s="1">
        <v>6.8</v>
      </c>
      <c r="O181" s="1">
        <v>10.3</v>
      </c>
      <c r="P181" s="1">
        <v>10.1</v>
      </c>
      <c r="Q181" s="1">
        <v>1.2</v>
      </c>
      <c r="R181" s="1">
        <v>21.6</v>
      </c>
      <c r="S181" s="1">
        <v>8.2</v>
      </c>
      <c r="T181" s="1">
        <v>71.3</v>
      </c>
      <c r="U181" s="1">
        <v>0.5</v>
      </c>
      <c r="V181" s="1">
        <v>0.5</v>
      </c>
      <c r="W181" s="1">
        <v>0.9</v>
      </c>
      <c r="X181" s="1" t="str">
        <f t="array" ref="X181">XLOOKUP(MID(A181, SEARCH("+++", A181) + 3, LEN(A181)),'Defensive Data'!$A$2:$A$134,'Defensive Data'!$D$2:$X$134)</f>
        <v>#N/A</v>
      </c>
    </row>
    <row r="182" ht="15.75" customHeight="1">
      <c r="A182" s="1" t="str">
        <f>CONCATENATE(Scores!A182,"+++",Scores!C182)</f>
        <v>Kansas State+++Arizona</v>
      </c>
      <c r="B182" s="1">
        <f>Scores!B182</f>
        <v>31</v>
      </c>
      <c r="C182" s="1">
        <f t="array" ref="C182:W182">XLOOKUP(LEFT(A182,SEARCH("+",A182)-1),'Offensive Data'!$A$2:$A$134,'Offensive Data'!$D$2:$X$134)</f>
        <v>17.1</v>
      </c>
      <c r="D182" s="1">
        <v>29.5</v>
      </c>
      <c r="E182" s="1">
        <v>58.0</v>
      </c>
      <c r="F182" s="1">
        <v>211.4</v>
      </c>
      <c r="G182" s="1">
        <v>1.9</v>
      </c>
      <c r="H182" s="1">
        <v>35.5</v>
      </c>
      <c r="I182" s="1">
        <v>215.5</v>
      </c>
      <c r="J182" s="1">
        <v>6.1</v>
      </c>
      <c r="K182" s="1">
        <v>1.6</v>
      </c>
      <c r="L182" s="1">
        <v>64.9</v>
      </c>
      <c r="M182" s="1">
        <v>426.8</v>
      </c>
      <c r="N182" s="1">
        <v>6.6</v>
      </c>
      <c r="O182" s="1">
        <v>9.2</v>
      </c>
      <c r="P182" s="1">
        <v>10.2</v>
      </c>
      <c r="Q182" s="1">
        <v>0.8</v>
      </c>
      <c r="R182" s="1">
        <v>20.3</v>
      </c>
      <c r="S182" s="1">
        <v>5.5</v>
      </c>
      <c r="T182" s="1">
        <v>45.7</v>
      </c>
      <c r="U182" s="1">
        <v>0.5</v>
      </c>
      <c r="V182" s="1">
        <v>0.8</v>
      </c>
      <c r="W182" s="1">
        <v>1.2</v>
      </c>
      <c r="X182" s="1">
        <f t="array" ref="X182:AR182">XLOOKUP(MID(A182, SEARCH("+++", A182) + 3, LEN(A182)),'Defensive Data'!$A$2:$A$134,'Defensive Data'!$D$2:$X$134)</f>
        <v>18.8</v>
      </c>
      <c r="Y182" s="1">
        <v>29.6</v>
      </c>
      <c r="Z182" s="1">
        <v>63.7</v>
      </c>
      <c r="AA182" s="1">
        <v>239.0</v>
      </c>
      <c r="AB182" s="1">
        <v>1.8</v>
      </c>
      <c r="AC182" s="1">
        <v>35.8</v>
      </c>
      <c r="AD182" s="1">
        <v>174.0</v>
      </c>
      <c r="AE182" s="1">
        <v>4.9</v>
      </c>
      <c r="AF182" s="1">
        <v>2.1</v>
      </c>
      <c r="AG182" s="1">
        <v>65.4</v>
      </c>
      <c r="AH182" s="1">
        <v>413.0</v>
      </c>
      <c r="AI182" s="1">
        <v>6.3</v>
      </c>
      <c r="AJ182" s="1">
        <v>9.8</v>
      </c>
      <c r="AK182" s="1">
        <v>9.4</v>
      </c>
      <c r="AL182" s="1">
        <v>1.8</v>
      </c>
      <c r="AM182" s="1">
        <v>21.0</v>
      </c>
      <c r="AN182" s="1">
        <v>5.0</v>
      </c>
      <c r="AO182" s="1">
        <v>44.5</v>
      </c>
      <c r="AP182" s="1">
        <v>0.7</v>
      </c>
      <c r="AQ182" s="1">
        <v>0.7</v>
      </c>
      <c r="AR182" s="1">
        <v>1.3</v>
      </c>
    </row>
    <row r="183" ht="15.75" customHeight="1">
      <c r="A183" s="1" t="str">
        <f>CONCATENATE(Scores!A183,"+++",Scores!C183)</f>
        <v>Nevada-Las Vegas+++Kansas</v>
      </c>
      <c r="B183" s="1">
        <f>Scores!B183</f>
        <v>23</v>
      </c>
      <c r="C183" s="1" t="str">
        <f t="array" ref="C183">XLOOKUP(LEFT(A183,SEARCH("+",A183)-1),'Offensive Data'!$A$2:$A$134,'Offensive Data'!$D$2:$X$134)</f>
        <v>#N/A</v>
      </c>
      <c r="X183" s="1">
        <f t="array" ref="X183:AR183">XLOOKUP(MID(A183, SEARCH("+++", A183) + 3, LEN(A183)),'Defensive Data'!$A$2:$A$134,'Defensive Data'!$D$2:$X$134)</f>
        <v>18.9</v>
      </c>
      <c r="Y183" s="1">
        <v>30.0</v>
      </c>
      <c r="Z183" s="1">
        <v>63.1</v>
      </c>
      <c r="AA183" s="1">
        <v>239.1</v>
      </c>
      <c r="AB183" s="1">
        <v>2.1</v>
      </c>
      <c r="AC183" s="1">
        <v>34.3</v>
      </c>
      <c r="AD183" s="1">
        <v>153.5</v>
      </c>
      <c r="AE183" s="1">
        <v>4.5</v>
      </c>
      <c r="AF183" s="1">
        <v>0.8</v>
      </c>
      <c r="AG183" s="1">
        <v>64.3</v>
      </c>
      <c r="AH183" s="1">
        <v>392.6</v>
      </c>
      <c r="AI183" s="1">
        <v>6.1</v>
      </c>
      <c r="AJ183" s="1">
        <v>10.5</v>
      </c>
      <c r="AK183" s="1">
        <v>9.6</v>
      </c>
      <c r="AL183" s="1">
        <v>1.2</v>
      </c>
      <c r="AM183" s="1">
        <v>21.3</v>
      </c>
      <c r="AN183" s="1">
        <v>4.5</v>
      </c>
      <c r="AO183" s="1">
        <v>40.8</v>
      </c>
      <c r="AP183" s="1">
        <v>0.4</v>
      </c>
      <c r="AQ183" s="1">
        <v>1.0</v>
      </c>
      <c r="AR183" s="1">
        <v>1.4</v>
      </c>
    </row>
    <row r="184" ht="15.75" customHeight="1">
      <c r="A184" s="1" t="str">
        <f>CONCATENATE(Scores!A184,"+++",Scores!C184)</f>
        <v>Akron+++Colgate</v>
      </c>
      <c r="B184" s="1">
        <f>Scores!B184</f>
        <v>31</v>
      </c>
      <c r="C184" s="1">
        <f t="array" ref="C184:W184">XLOOKUP(LEFT(A184,SEARCH("+",A184)-1),'Offensive Data'!$A$2:$A$134,'Offensive Data'!$D$2:$X$134)</f>
        <v>19.5</v>
      </c>
      <c r="D184" s="1">
        <v>34.9</v>
      </c>
      <c r="E184" s="1">
        <v>55.8</v>
      </c>
      <c r="F184" s="1">
        <v>232.4</v>
      </c>
      <c r="G184" s="1">
        <v>1.3</v>
      </c>
      <c r="H184" s="1">
        <v>28.8</v>
      </c>
      <c r="I184" s="1">
        <v>100.3</v>
      </c>
      <c r="J184" s="1">
        <v>3.5</v>
      </c>
      <c r="K184" s="1">
        <v>0.9</v>
      </c>
      <c r="L184" s="1">
        <v>63.8</v>
      </c>
      <c r="M184" s="1">
        <v>332.8</v>
      </c>
      <c r="N184" s="1">
        <v>5.2</v>
      </c>
      <c r="O184" s="1">
        <v>9.8</v>
      </c>
      <c r="P184" s="1">
        <v>6.2</v>
      </c>
      <c r="Q184" s="1">
        <v>2.1</v>
      </c>
      <c r="R184" s="1">
        <v>18.0</v>
      </c>
      <c r="S184" s="1">
        <v>6.3</v>
      </c>
      <c r="T184" s="1">
        <v>48.7</v>
      </c>
      <c r="U184" s="1">
        <v>0.8</v>
      </c>
      <c r="V184" s="1">
        <v>0.8</v>
      </c>
      <c r="W184" s="1">
        <v>1.7</v>
      </c>
      <c r="X184" s="1" t="str">
        <f t="array" ref="X184">XLOOKUP(MID(A184, SEARCH("+++", A184) + 3, LEN(A184)),'Defensive Data'!$A$2:$A$134,'Defensive Data'!$D$2:$X$134)</f>
        <v>#N/A</v>
      </c>
    </row>
    <row r="185" ht="15.75" customHeight="1">
      <c r="A185" s="1" t="str">
        <f>CONCATENATE(Scores!A185,"+++",Scores!C185)</f>
        <v>Alabama+++Wisconsin</v>
      </c>
      <c r="B185" s="1">
        <f>Scores!B185</f>
        <v>42</v>
      </c>
      <c r="C185" s="1">
        <f t="array" ref="C185:W185">XLOOKUP(LEFT(A185,SEARCH("+",A185)-1),'Offensive Data'!$A$2:$A$134,'Offensive Data'!$D$2:$X$134)</f>
        <v>17.4</v>
      </c>
      <c r="D185" s="1">
        <v>27.2</v>
      </c>
      <c r="E185" s="1">
        <v>63.8</v>
      </c>
      <c r="F185" s="1">
        <v>236.4</v>
      </c>
      <c r="G185" s="1">
        <v>1.3</v>
      </c>
      <c r="H185" s="1">
        <v>37.5</v>
      </c>
      <c r="I185" s="1">
        <v>173.8</v>
      </c>
      <c r="J185" s="1">
        <v>4.6</v>
      </c>
      <c r="K185" s="1">
        <v>3.2</v>
      </c>
      <c r="L185" s="1">
        <v>64.8</v>
      </c>
      <c r="M185" s="1">
        <v>410.2</v>
      </c>
      <c r="N185" s="1">
        <v>6.3</v>
      </c>
      <c r="O185" s="1">
        <v>9.8</v>
      </c>
      <c r="P185" s="1">
        <v>9.7</v>
      </c>
      <c r="Q185" s="1">
        <v>1.4</v>
      </c>
      <c r="R185" s="1">
        <v>20.8</v>
      </c>
      <c r="S185" s="1">
        <v>7.3</v>
      </c>
      <c r="T185" s="1">
        <v>69.1</v>
      </c>
      <c r="U185" s="1">
        <v>0.8</v>
      </c>
      <c r="V185" s="1">
        <v>0.8</v>
      </c>
      <c r="W185" s="1">
        <v>1.6</v>
      </c>
      <c r="X185" s="1">
        <f t="array" ref="X185:AR185">XLOOKUP(MID(A185, SEARCH("+++", A185) + 3, LEN(A185)),'Defensive Data'!$A$2:$A$134,'Defensive Data'!$D$2:$X$134)</f>
        <v>16.8</v>
      </c>
      <c r="Y185" s="1">
        <v>26.9</v>
      </c>
      <c r="Z185" s="1">
        <v>62.5</v>
      </c>
      <c r="AA185" s="1">
        <v>177.7</v>
      </c>
      <c r="AB185" s="1">
        <v>1.0</v>
      </c>
      <c r="AC185" s="1">
        <v>35.7</v>
      </c>
      <c r="AD185" s="1">
        <v>165.0</v>
      </c>
      <c r="AE185" s="1">
        <v>4.6</v>
      </c>
      <c r="AF185" s="1">
        <v>1.7</v>
      </c>
      <c r="AG185" s="1">
        <v>62.6</v>
      </c>
      <c r="AH185" s="1">
        <v>342.7</v>
      </c>
      <c r="AI185" s="1">
        <v>5.5</v>
      </c>
      <c r="AJ185" s="1">
        <v>8.3</v>
      </c>
      <c r="AK185" s="1">
        <v>8.8</v>
      </c>
      <c r="AL185" s="1">
        <v>1.1</v>
      </c>
      <c r="AM185" s="1">
        <v>18.3</v>
      </c>
      <c r="AN185" s="1">
        <v>5.7</v>
      </c>
      <c r="AO185" s="1">
        <v>46.6</v>
      </c>
      <c r="AP185" s="1">
        <v>0.7</v>
      </c>
      <c r="AQ185" s="1">
        <v>0.3</v>
      </c>
      <c r="AR185" s="1">
        <v>1.0</v>
      </c>
    </row>
    <row r="186" ht="15.75" customHeight="1">
      <c r="A186" s="1" t="str">
        <f>CONCATENATE(Scores!A186,"+++",Scores!C186)</f>
        <v>Appalachian State+++East Carolina</v>
      </c>
      <c r="B186" s="1">
        <f>Scores!B186</f>
        <v>21</v>
      </c>
      <c r="C186" s="1">
        <f t="array" ref="C186:W186">XLOOKUP(LEFT(A186,SEARCH("+",A186)-1),'Offensive Data'!$A$2:$A$134,'Offensive Data'!$D$2:$X$134)</f>
        <v>19.8</v>
      </c>
      <c r="D186" s="1">
        <v>35.6</v>
      </c>
      <c r="E186" s="1">
        <v>55.6</v>
      </c>
      <c r="F186" s="1">
        <v>273.0</v>
      </c>
      <c r="G186" s="1">
        <v>2.1</v>
      </c>
      <c r="H186" s="1">
        <v>35.2</v>
      </c>
      <c r="I186" s="1">
        <v>153.8</v>
      </c>
      <c r="J186" s="1">
        <v>4.4</v>
      </c>
      <c r="K186" s="1">
        <v>1.2</v>
      </c>
      <c r="L186" s="1">
        <v>70.8</v>
      </c>
      <c r="M186" s="1">
        <v>426.8</v>
      </c>
      <c r="N186" s="1">
        <v>6.0</v>
      </c>
      <c r="O186" s="1">
        <v>12.2</v>
      </c>
      <c r="P186" s="1">
        <v>9.5</v>
      </c>
      <c r="Q186" s="1">
        <v>2.2</v>
      </c>
      <c r="R186" s="1">
        <v>23.8</v>
      </c>
      <c r="S186" s="1">
        <v>6.0</v>
      </c>
      <c r="T186" s="1">
        <v>56.9</v>
      </c>
      <c r="U186" s="1">
        <v>0.5</v>
      </c>
      <c r="V186" s="1">
        <v>1.5</v>
      </c>
      <c r="W186" s="1">
        <v>2.0</v>
      </c>
      <c r="X186" s="1">
        <f t="array" ref="X186:AR186">XLOOKUP(MID(A186, SEARCH("+++", A186) + 3, LEN(A186)),'Defensive Data'!$A$2:$A$134,'Defensive Data'!$D$2:$X$134)</f>
        <v>19.6</v>
      </c>
      <c r="Y186" s="1">
        <v>32.7</v>
      </c>
      <c r="Z186" s="1">
        <v>60.0</v>
      </c>
      <c r="AA186" s="1">
        <v>235.3</v>
      </c>
      <c r="AB186" s="1">
        <v>1.8</v>
      </c>
      <c r="AC186" s="1">
        <v>41.8</v>
      </c>
      <c r="AD186" s="1">
        <v>169.8</v>
      </c>
      <c r="AE186" s="1">
        <v>4.1</v>
      </c>
      <c r="AF186" s="1">
        <v>1.6</v>
      </c>
      <c r="AG186" s="1">
        <v>74.5</v>
      </c>
      <c r="AH186" s="1">
        <v>405.2</v>
      </c>
      <c r="AI186" s="1">
        <v>5.4</v>
      </c>
      <c r="AJ186" s="1">
        <v>10.4</v>
      </c>
      <c r="AK186" s="1">
        <v>8.6</v>
      </c>
      <c r="AL186" s="1">
        <v>2.2</v>
      </c>
      <c r="AM186" s="1">
        <v>21.2</v>
      </c>
      <c r="AN186" s="1">
        <v>6.9</v>
      </c>
      <c r="AO186" s="1">
        <v>60.8</v>
      </c>
      <c r="AP186" s="1">
        <v>0.6</v>
      </c>
      <c r="AQ186" s="1">
        <v>1.1</v>
      </c>
      <c r="AR186" s="1">
        <v>1.7</v>
      </c>
    </row>
    <row r="187" ht="15.75" customHeight="1">
      <c r="A187" s="1" t="str">
        <f>CONCATENATE(Scores!A187,"+++",Scores!C187)</f>
        <v>Arkansas+++Alabama-Birmingham</v>
      </c>
      <c r="B187" s="1">
        <f>Scores!B187</f>
        <v>37</v>
      </c>
      <c r="C187" s="1">
        <f t="array" ref="C187:W187">XLOOKUP(LEFT(A187,SEARCH("+",A187)-1),'Offensive Data'!$A$2:$A$134,'Offensive Data'!$D$2:$X$134)</f>
        <v>19.6</v>
      </c>
      <c r="D187" s="1">
        <v>31.8</v>
      </c>
      <c r="E187" s="1">
        <v>61.6</v>
      </c>
      <c r="F187" s="1">
        <v>274.7</v>
      </c>
      <c r="G187" s="1">
        <v>1.2</v>
      </c>
      <c r="H187" s="1">
        <v>38.0</v>
      </c>
      <c r="I187" s="1">
        <v>184.8</v>
      </c>
      <c r="J187" s="1">
        <v>4.9</v>
      </c>
      <c r="K187" s="1">
        <v>2.6</v>
      </c>
      <c r="L187" s="1">
        <v>69.8</v>
      </c>
      <c r="M187" s="1">
        <v>459.5</v>
      </c>
      <c r="N187" s="1">
        <v>6.6</v>
      </c>
      <c r="O187" s="1">
        <v>11.5</v>
      </c>
      <c r="P187" s="1">
        <v>11.5</v>
      </c>
      <c r="Q187" s="1">
        <v>1.2</v>
      </c>
      <c r="R187" s="1">
        <v>24.2</v>
      </c>
      <c r="S187" s="1">
        <v>7.2</v>
      </c>
      <c r="T187" s="1">
        <v>59.8</v>
      </c>
      <c r="U187" s="1">
        <v>1.1</v>
      </c>
      <c r="V187" s="1">
        <v>0.7</v>
      </c>
      <c r="W187" s="1">
        <v>1.8</v>
      </c>
      <c r="X187" s="1" t="str">
        <f t="array" ref="X187">XLOOKUP(MID(A187, SEARCH("+++", A187) + 3, LEN(A187)),'Defensive Data'!$A$2:$A$134,'Defensive Data'!$D$2:$X$134)</f>
        <v>#N/A</v>
      </c>
    </row>
    <row r="188" ht="15.75" customHeight="1">
      <c r="A188" s="1" t="str">
        <f>CONCATENATE(Scores!A188,"+++",Scores!C188)</f>
        <v>Auburn+++New Mexico</v>
      </c>
      <c r="B188" s="1">
        <f>Scores!B188</f>
        <v>45</v>
      </c>
      <c r="C188" s="1">
        <f t="array" ref="C188:W188">XLOOKUP(LEFT(A188,SEARCH("+",A188)-1),'Offensive Data'!$A$2:$A$134,'Offensive Data'!$D$2:$X$134)</f>
        <v>19.2</v>
      </c>
      <c r="D188" s="1">
        <v>30.8</v>
      </c>
      <c r="E188" s="1">
        <v>62.3</v>
      </c>
      <c r="F188" s="1">
        <v>263.9</v>
      </c>
      <c r="G188" s="1">
        <v>2.3</v>
      </c>
      <c r="H188" s="1">
        <v>33.7</v>
      </c>
      <c r="I188" s="1">
        <v>165.5</v>
      </c>
      <c r="J188" s="1">
        <v>4.9</v>
      </c>
      <c r="K188" s="1">
        <v>1.1</v>
      </c>
      <c r="L188" s="1">
        <v>64.4</v>
      </c>
      <c r="M188" s="1">
        <v>429.4</v>
      </c>
      <c r="N188" s="1">
        <v>6.7</v>
      </c>
      <c r="O188" s="1">
        <v>10.6</v>
      </c>
      <c r="P188" s="1">
        <v>9.0</v>
      </c>
      <c r="Q188" s="1">
        <v>1.4</v>
      </c>
      <c r="R188" s="1">
        <v>21.0</v>
      </c>
      <c r="S188" s="1">
        <v>5.8</v>
      </c>
      <c r="T188" s="1">
        <v>49.3</v>
      </c>
      <c r="U188" s="1">
        <v>0.8</v>
      </c>
      <c r="V188" s="1">
        <v>1.1</v>
      </c>
      <c r="W188" s="1">
        <v>1.8</v>
      </c>
      <c r="X188" s="1">
        <f t="array" ref="X188:AR188">XLOOKUP(MID(A188, SEARCH("+++", A188) + 3, LEN(A188)),'Defensive Data'!$A$2:$A$134,'Defensive Data'!$D$2:$X$134)</f>
        <v>21.3</v>
      </c>
      <c r="Y188" s="1">
        <v>33.0</v>
      </c>
      <c r="Z188" s="1">
        <v>64.6</v>
      </c>
      <c r="AA188" s="1">
        <v>279.2</v>
      </c>
      <c r="AB188" s="1">
        <v>2.5</v>
      </c>
      <c r="AC188" s="1">
        <v>39.3</v>
      </c>
      <c r="AD188" s="1">
        <v>212.9</v>
      </c>
      <c r="AE188" s="1">
        <v>5.4</v>
      </c>
      <c r="AF188" s="1">
        <v>2.3</v>
      </c>
      <c r="AG188" s="1">
        <v>72.3</v>
      </c>
      <c r="AH188" s="1">
        <v>492.1</v>
      </c>
      <c r="AI188" s="1">
        <v>6.8</v>
      </c>
      <c r="AJ188" s="1">
        <v>11.7</v>
      </c>
      <c r="AK188" s="1">
        <v>10.6</v>
      </c>
      <c r="AL188" s="1">
        <v>2.4</v>
      </c>
      <c r="AM188" s="1">
        <v>24.7</v>
      </c>
      <c r="AN188" s="1">
        <v>7.0</v>
      </c>
      <c r="AO188" s="1">
        <v>65.4</v>
      </c>
      <c r="AP188" s="1">
        <v>0.6</v>
      </c>
      <c r="AQ188" s="1">
        <v>0.3</v>
      </c>
      <c r="AR188" s="1">
        <v>0.8</v>
      </c>
    </row>
    <row r="189" ht="15.75" customHeight="1">
      <c r="A189" s="1" t="str">
        <f>CONCATENATE(Scores!A189,"+++",Scores!C189)</f>
        <v>Baylor+++Air Force</v>
      </c>
      <c r="B189" s="1">
        <f>Scores!B189</f>
        <v>31</v>
      </c>
      <c r="C189" s="1">
        <f t="array" ref="C189:W189">XLOOKUP(LEFT(A189,SEARCH("+",A189)-1),'Offensive Data'!$A$2:$A$134,'Offensive Data'!$D$2:$X$134)</f>
        <v>19.5</v>
      </c>
      <c r="D189" s="1">
        <v>31.8</v>
      </c>
      <c r="E189" s="1">
        <v>61.3</v>
      </c>
      <c r="F189" s="1">
        <v>261.3</v>
      </c>
      <c r="G189" s="1">
        <v>2.4</v>
      </c>
      <c r="H189" s="1">
        <v>37.8</v>
      </c>
      <c r="I189" s="1">
        <v>178.8</v>
      </c>
      <c r="J189" s="1">
        <v>4.7</v>
      </c>
      <c r="K189" s="1">
        <v>1.9</v>
      </c>
      <c r="L189" s="1">
        <v>69.5</v>
      </c>
      <c r="M189" s="1">
        <v>440.1</v>
      </c>
      <c r="N189" s="1">
        <v>6.3</v>
      </c>
      <c r="O189" s="1">
        <v>12.1</v>
      </c>
      <c r="P189" s="1">
        <v>9.1</v>
      </c>
      <c r="Q189" s="1">
        <v>1.8</v>
      </c>
      <c r="R189" s="1">
        <v>23.0</v>
      </c>
      <c r="S189" s="1">
        <v>6.2</v>
      </c>
      <c r="T189" s="1">
        <v>60.4</v>
      </c>
      <c r="U189" s="1">
        <v>0.4</v>
      </c>
      <c r="V189" s="1">
        <v>0.8</v>
      </c>
      <c r="W189" s="1">
        <v>1.2</v>
      </c>
      <c r="X189" s="1">
        <f t="array" ref="X189:AR189">XLOOKUP(MID(A189, SEARCH("+++", A189) + 3, LEN(A189)),'Defensive Data'!$A$2:$A$134,'Defensive Data'!$D$2:$X$134)</f>
        <v>15.6</v>
      </c>
      <c r="Y189" s="1">
        <v>24.1</v>
      </c>
      <c r="Z189" s="1">
        <v>64.7</v>
      </c>
      <c r="AA189" s="1">
        <v>188.5</v>
      </c>
      <c r="AB189" s="1">
        <v>1.0</v>
      </c>
      <c r="AC189" s="1">
        <v>33.6</v>
      </c>
      <c r="AD189" s="1">
        <v>153.4</v>
      </c>
      <c r="AE189" s="1">
        <v>4.6</v>
      </c>
      <c r="AF189" s="1">
        <v>1.9</v>
      </c>
      <c r="AG189" s="1">
        <v>57.7</v>
      </c>
      <c r="AH189" s="1">
        <v>341.9</v>
      </c>
      <c r="AI189" s="1">
        <v>5.9</v>
      </c>
      <c r="AJ189" s="1">
        <v>8.5</v>
      </c>
      <c r="AK189" s="1">
        <v>7.4</v>
      </c>
      <c r="AL189" s="1">
        <v>1.1</v>
      </c>
      <c r="AM189" s="1">
        <v>17.0</v>
      </c>
      <c r="AN189" s="1">
        <v>5.3</v>
      </c>
      <c r="AO189" s="1">
        <v>48.4</v>
      </c>
      <c r="AP189" s="1">
        <v>0.7</v>
      </c>
      <c r="AQ189" s="1">
        <v>0.3</v>
      </c>
      <c r="AR189" s="1">
        <v>1.0</v>
      </c>
    </row>
    <row r="190" ht="15.75" customHeight="1">
      <c r="A190" s="1" t="str">
        <f>CONCATENATE(Scores!A190,"+++",Scores!C190)</f>
        <v>Brigham Young+++Wyoming</v>
      </c>
      <c r="B190" s="1">
        <f>Scores!B190</f>
        <v>34</v>
      </c>
      <c r="C190" s="1">
        <f t="array" ref="C190:W190">XLOOKUP(LEFT(A190,SEARCH("+",A190)-1),'Offensive Data'!$A$2:$A$134,'Offensive Data'!$D$2:$X$134)</f>
        <v>16.7</v>
      </c>
      <c r="D190" s="1">
        <v>29.2</v>
      </c>
      <c r="E190" s="1">
        <v>57.3</v>
      </c>
      <c r="F190" s="1">
        <v>231.3</v>
      </c>
      <c r="G190" s="1">
        <v>1.6</v>
      </c>
      <c r="H190" s="1">
        <v>35.2</v>
      </c>
      <c r="I190" s="1">
        <v>161.0</v>
      </c>
      <c r="J190" s="1">
        <v>4.6</v>
      </c>
      <c r="K190" s="1">
        <v>1.5</v>
      </c>
      <c r="L190" s="1">
        <v>64.3</v>
      </c>
      <c r="M190" s="1">
        <v>392.3</v>
      </c>
      <c r="N190" s="1">
        <v>6.1</v>
      </c>
      <c r="O190" s="1">
        <v>10.8</v>
      </c>
      <c r="P190" s="1">
        <v>9.8</v>
      </c>
      <c r="Q190" s="1">
        <v>1.6</v>
      </c>
      <c r="R190" s="1">
        <v>22.2</v>
      </c>
      <c r="S190" s="1">
        <v>5.1</v>
      </c>
      <c r="T190" s="1">
        <v>43.2</v>
      </c>
      <c r="U190" s="1">
        <v>0.5</v>
      </c>
      <c r="V190" s="1">
        <v>1.1</v>
      </c>
      <c r="W190" s="1">
        <v>1.6</v>
      </c>
      <c r="X190" s="1">
        <f t="array" ref="X190:AR190">XLOOKUP(MID(A190, SEARCH("+++", A190) + 3, LEN(A190)),'Defensive Data'!$A$2:$A$134,'Defensive Data'!$D$2:$X$134)</f>
        <v>17.6</v>
      </c>
      <c r="Y190" s="1">
        <v>28.5</v>
      </c>
      <c r="Z190" s="1">
        <v>61.7</v>
      </c>
      <c r="AA190" s="1">
        <v>218.9</v>
      </c>
      <c r="AB190" s="1">
        <v>1.3</v>
      </c>
      <c r="AC190" s="1">
        <v>35.0</v>
      </c>
      <c r="AD190" s="1">
        <v>191.7</v>
      </c>
      <c r="AE190" s="1">
        <v>5.5</v>
      </c>
      <c r="AF190" s="1">
        <v>1.8</v>
      </c>
      <c r="AG190" s="1">
        <v>63.5</v>
      </c>
      <c r="AH190" s="1">
        <v>410.6</v>
      </c>
      <c r="AI190" s="1">
        <v>6.5</v>
      </c>
      <c r="AJ190" s="1">
        <v>9.8</v>
      </c>
      <c r="AK190" s="1">
        <v>8.7</v>
      </c>
      <c r="AL190" s="1">
        <v>1.5</v>
      </c>
      <c r="AM190" s="1">
        <v>19.9</v>
      </c>
      <c r="AN190" s="1">
        <v>7.1</v>
      </c>
      <c r="AO190" s="1">
        <v>58.8</v>
      </c>
      <c r="AP190" s="1">
        <v>0.4</v>
      </c>
      <c r="AQ190" s="1">
        <v>0.5</v>
      </c>
      <c r="AR190" s="1">
        <v>0.9</v>
      </c>
    </row>
    <row r="191" ht="15.75" customHeight="1">
      <c r="A191" s="1" t="str">
        <f>CONCATENATE(Scores!A191,"+++",Scores!C191)</f>
        <v>Buffalo+++Massachusetts</v>
      </c>
      <c r="B191" s="1">
        <f>Scores!B191</f>
        <v>34</v>
      </c>
      <c r="C191" s="1">
        <f t="array" ref="C191:W191">XLOOKUP(LEFT(A191,SEARCH("+",A191)-1),'Offensive Data'!$A$2:$A$134,'Offensive Data'!$D$2:$X$134)</f>
        <v>14.9</v>
      </c>
      <c r="D191" s="1">
        <v>26.7</v>
      </c>
      <c r="E191" s="1">
        <v>55.9</v>
      </c>
      <c r="F191" s="1">
        <v>186.3</v>
      </c>
      <c r="G191" s="1">
        <v>1.5</v>
      </c>
      <c r="H191" s="1">
        <v>41.0</v>
      </c>
      <c r="I191" s="1">
        <v>169.1</v>
      </c>
      <c r="J191" s="1">
        <v>4.1</v>
      </c>
      <c r="K191" s="1">
        <v>1.8</v>
      </c>
      <c r="L191" s="1">
        <v>67.7</v>
      </c>
      <c r="M191" s="1">
        <v>355.4</v>
      </c>
      <c r="N191" s="1">
        <v>5.3</v>
      </c>
      <c r="O191" s="1">
        <v>7.9</v>
      </c>
      <c r="P191" s="1">
        <v>9.2</v>
      </c>
      <c r="Q191" s="1">
        <v>1.4</v>
      </c>
      <c r="R191" s="1">
        <v>18.5</v>
      </c>
      <c r="S191" s="1">
        <v>4.5</v>
      </c>
      <c r="T191" s="1">
        <v>43.4</v>
      </c>
      <c r="U191" s="1">
        <v>0.5</v>
      </c>
      <c r="V191" s="1">
        <v>0.5</v>
      </c>
      <c r="W191" s="1">
        <v>1.0</v>
      </c>
      <c r="X191" s="1">
        <f t="array" ref="X191:AR191">XLOOKUP(MID(A191, SEARCH("+++", A191) + 3, LEN(A191)),'Defensive Data'!$A$2:$A$134,'Defensive Data'!$D$2:$X$134)</f>
        <v>13</v>
      </c>
      <c r="Y191" s="1">
        <v>22.4</v>
      </c>
      <c r="Z191" s="1">
        <v>58.0</v>
      </c>
      <c r="AA191" s="1">
        <v>176.6</v>
      </c>
      <c r="AB191" s="1">
        <v>1.6</v>
      </c>
      <c r="AC191" s="1">
        <v>37.8</v>
      </c>
      <c r="AD191" s="1">
        <v>197.9</v>
      </c>
      <c r="AE191" s="1">
        <v>5.2</v>
      </c>
      <c r="AF191" s="1">
        <v>2.7</v>
      </c>
      <c r="AG191" s="1">
        <v>60.3</v>
      </c>
      <c r="AH191" s="1">
        <v>374.5</v>
      </c>
      <c r="AI191" s="1">
        <v>6.2</v>
      </c>
      <c r="AJ191" s="1">
        <v>7.4</v>
      </c>
      <c r="AK191" s="1">
        <v>10.6</v>
      </c>
      <c r="AL191" s="1">
        <v>2.3</v>
      </c>
      <c r="AM191" s="1">
        <v>20.3</v>
      </c>
      <c r="AN191" s="1">
        <v>6.0</v>
      </c>
      <c r="AO191" s="1">
        <v>53.3</v>
      </c>
      <c r="AP191" s="1">
        <v>0.3</v>
      </c>
      <c r="AQ191" s="1">
        <v>0.5</v>
      </c>
      <c r="AR191" s="1">
        <v>0.8</v>
      </c>
    </row>
    <row r="192" ht="15.75" customHeight="1">
      <c r="A192" s="1" t="str">
        <f>CONCATENATE(Scores!A192,"+++",Scores!C192)</f>
        <v>California+++San Diego State</v>
      </c>
      <c r="B192" s="1">
        <f>Scores!B192</f>
        <v>31</v>
      </c>
      <c r="C192" s="1">
        <f t="array" ref="C192:W192">XLOOKUP(LEFT(A192,SEARCH("+",A192)-1),'Offensive Data'!$A$2:$A$134,'Offensive Data'!$D$2:$X$134)</f>
        <v>23.2</v>
      </c>
      <c r="D192" s="1">
        <v>35.7</v>
      </c>
      <c r="E192" s="1">
        <v>65.1</v>
      </c>
      <c r="F192" s="1">
        <v>258.6</v>
      </c>
      <c r="G192" s="1">
        <v>1.2</v>
      </c>
      <c r="H192" s="1">
        <v>34.2</v>
      </c>
      <c r="I192" s="1">
        <v>121.5</v>
      </c>
      <c r="J192" s="1">
        <v>3.6</v>
      </c>
      <c r="K192" s="1">
        <v>1.3</v>
      </c>
      <c r="L192" s="1">
        <v>69.8</v>
      </c>
      <c r="M192" s="1">
        <v>380.2</v>
      </c>
      <c r="N192" s="1">
        <v>5.4</v>
      </c>
      <c r="O192" s="1">
        <v>11.9</v>
      </c>
      <c r="P192" s="1">
        <v>7.1</v>
      </c>
      <c r="Q192" s="1">
        <v>1.9</v>
      </c>
      <c r="R192" s="1">
        <v>20.9</v>
      </c>
      <c r="S192" s="1">
        <v>7.4</v>
      </c>
      <c r="T192" s="1">
        <v>59.7</v>
      </c>
      <c r="U192" s="1">
        <v>0.3</v>
      </c>
      <c r="V192" s="1">
        <v>0.5</v>
      </c>
      <c r="W192" s="1">
        <v>0.8</v>
      </c>
      <c r="X192" s="1">
        <f t="array" ref="X192:AR192">XLOOKUP(MID(A192, SEARCH("+++", A192) + 3, LEN(A192)),'Defensive Data'!$A$2:$A$134,'Defensive Data'!$D$2:$X$134)</f>
        <v>18.6</v>
      </c>
      <c r="Y192" s="1">
        <v>28.6</v>
      </c>
      <c r="Z192" s="1">
        <v>65.0</v>
      </c>
      <c r="AA192" s="1">
        <v>214.1</v>
      </c>
      <c r="AB192" s="1">
        <v>1.8</v>
      </c>
      <c r="AC192" s="1">
        <v>42.4</v>
      </c>
      <c r="AD192" s="1">
        <v>207.3</v>
      </c>
      <c r="AE192" s="1">
        <v>4.9</v>
      </c>
      <c r="AF192" s="1">
        <v>2.1</v>
      </c>
      <c r="AG192" s="1">
        <v>71.0</v>
      </c>
      <c r="AH192" s="1">
        <v>421.3</v>
      </c>
      <c r="AI192" s="1">
        <v>5.9</v>
      </c>
      <c r="AJ192" s="1">
        <v>9.4</v>
      </c>
      <c r="AK192" s="1">
        <v>11.3</v>
      </c>
      <c r="AL192" s="1">
        <v>2.6</v>
      </c>
      <c r="AM192" s="1">
        <v>23.3</v>
      </c>
      <c r="AN192" s="1">
        <v>6.5</v>
      </c>
      <c r="AO192" s="1">
        <v>63.8</v>
      </c>
      <c r="AP192" s="1">
        <v>0.4</v>
      </c>
      <c r="AQ192" s="1">
        <v>0.6</v>
      </c>
      <c r="AR192" s="1">
        <v>1.0</v>
      </c>
    </row>
    <row r="193" ht="15.75" customHeight="1">
      <c r="A193" s="1" t="str">
        <f>CONCATENATE(Scores!A193,"+++",Scores!C193)</f>
        <v>Central Florida+++Texas Christian</v>
      </c>
      <c r="B193" s="1">
        <f>Scores!B193</f>
        <v>35</v>
      </c>
      <c r="C193" s="1" t="str">
        <f t="array" ref="C193">XLOOKUP(LEFT(A193,SEARCH("+",A193)-1),'Offensive Data'!$A$2:$A$134,'Offensive Data'!$D$2:$X$134)</f>
        <v>#N/A</v>
      </c>
      <c r="X193" s="1" t="str">
        <f t="array" ref="X193">XLOOKUP(MID(A193, SEARCH("+++", A193) + 3, LEN(A193)),'Defensive Data'!$A$2:$A$134,'Defensive Data'!$D$2:$X$134)</f>
        <v>#N/A</v>
      </c>
    </row>
    <row r="194" ht="15.75" customHeight="1">
      <c r="A194" s="1" t="str">
        <f>CONCATENATE(Scores!A194,"+++",Scores!C194)</f>
        <v>Charlotte+++Gardner-Webb</v>
      </c>
      <c r="B194" s="1">
        <f>Scores!B194</f>
        <v>27</v>
      </c>
      <c r="C194" s="1">
        <f t="array" ref="C194:W194">XLOOKUP(LEFT(A194,SEARCH("+",A194)-1),'Offensive Data'!$A$2:$A$134,'Offensive Data'!$D$2:$X$134)</f>
        <v>14.8</v>
      </c>
      <c r="D194" s="1">
        <v>29.4</v>
      </c>
      <c r="E194" s="1">
        <v>50.1</v>
      </c>
      <c r="F194" s="1">
        <v>224.1</v>
      </c>
      <c r="G194" s="1">
        <v>1.3</v>
      </c>
      <c r="H194" s="1">
        <v>32.5</v>
      </c>
      <c r="I194" s="1">
        <v>117.1</v>
      </c>
      <c r="J194" s="1">
        <v>3.6</v>
      </c>
      <c r="K194" s="1">
        <v>1.3</v>
      </c>
      <c r="L194" s="1">
        <v>61.9</v>
      </c>
      <c r="M194" s="1">
        <v>341.2</v>
      </c>
      <c r="N194" s="1">
        <v>5.5</v>
      </c>
      <c r="O194" s="1">
        <v>8.7</v>
      </c>
      <c r="P194" s="1">
        <v>6.4</v>
      </c>
      <c r="Q194" s="1">
        <v>2.1</v>
      </c>
      <c r="R194" s="1">
        <v>17.2</v>
      </c>
      <c r="S194" s="1">
        <v>7.8</v>
      </c>
      <c r="T194" s="1">
        <v>65.3</v>
      </c>
      <c r="U194" s="1">
        <v>0.6</v>
      </c>
      <c r="V194" s="1">
        <v>1.2</v>
      </c>
      <c r="W194" s="1">
        <v>1.8</v>
      </c>
      <c r="X194" s="1" t="str">
        <f t="array" ref="X194">XLOOKUP(MID(A194, SEARCH("+++", A194) + 3, LEN(A194)),'Defensive Data'!$A$2:$A$134,'Defensive Data'!$D$2:$X$134)</f>
        <v>#N/A</v>
      </c>
    </row>
    <row r="195" ht="15.75" customHeight="1">
      <c r="A195" s="1" t="str">
        <f>CONCATENATE(Scores!A195,"+++",Scores!C195)</f>
        <v>Cincinnati+++Miami (OH)</v>
      </c>
      <c r="B195" s="1">
        <f>Scores!B195</f>
        <v>27</v>
      </c>
      <c r="C195" s="1">
        <f t="array" ref="C195:W195">XLOOKUP(LEFT(A195,SEARCH("+",A195)-1),'Offensive Data'!$A$2:$A$134,'Offensive Data'!$D$2:$X$134)</f>
        <v>21</v>
      </c>
      <c r="D195" s="1">
        <v>32.9</v>
      </c>
      <c r="E195" s="1">
        <v>63.8</v>
      </c>
      <c r="F195" s="1">
        <v>236.5</v>
      </c>
      <c r="G195" s="1">
        <v>1.5</v>
      </c>
      <c r="H195" s="1">
        <v>35.6</v>
      </c>
      <c r="I195" s="1">
        <v>184.1</v>
      </c>
      <c r="J195" s="1">
        <v>5.2</v>
      </c>
      <c r="K195" s="1">
        <v>1.6</v>
      </c>
      <c r="L195" s="1">
        <v>68.5</v>
      </c>
      <c r="M195" s="1">
        <v>420.6</v>
      </c>
      <c r="N195" s="1">
        <v>6.1</v>
      </c>
      <c r="O195" s="1">
        <v>11.7</v>
      </c>
      <c r="P195" s="1">
        <v>9.0</v>
      </c>
      <c r="Q195" s="1">
        <v>1.4</v>
      </c>
      <c r="R195" s="1">
        <v>22.1</v>
      </c>
      <c r="S195" s="1">
        <v>5.3</v>
      </c>
      <c r="T195" s="1">
        <v>44.4</v>
      </c>
      <c r="U195" s="1">
        <v>0.9</v>
      </c>
      <c r="V195" s="1">
        <v>0.6</v>
      </c>
      <c r="W195" s="1">
        <v>1.5</v>
      </c>
      <c r="X195" s="1">
        <f t="array" ref="X195:AR195">XLOOKUP(MID(A195, SEARCH("+++", A195) + 3, LEN(A195)),'Defensive Data'!$A$2:$A$134,'Defensive Data'!$D$2:$X$134)</f>
        <v>19.1</v>
      </c>
      <c r="Y195" s="1">
        <v>33.1</v>
      </c>
      <c r="Z195" s="1">
        <v>57.8</v>
      </c>
      <c r="AA195" s="1">
        <v>194.3</v>
      </c>
      <c r="AB195" s="1">
        <v>0.7</v>
      </c>
      <c r="AC195" s="1">
        <v>35.1</v>
      </c>
      <c r="AD195" s="1">
        <v>137.1</v>
      </c>
      <c r="AE195" s="1">
        <v>3.9</v>
      </c>
      <c r="AF195" s="1">
        <v>1.4</v>
      </c>
      <c r="AG195" s="1">
        <v>68.2</v>
      </c>
      <c r="AH195" s="1">
        <v>331.4</v>
      </c>
      <c r="AI195" s="1">
        <v>4.9</v>
      </c>
      <c r="AJ195" s="1">
        <v>10.1</v>
      </c>
      <c r="AK195" s="1">
        <v>8.3</v>
      </c>
      <c r="AL195" s="1">
        <v>1.8</v>
      </c>
      <c r="AM195" s="1">
        <v>20.2</v>
      </c>
      <c r="AN195" s="1">
        <v>4.9</v>
      </c>
      <c r="AO195" s="1">
        <v>41.9</v>
      </c>
      <c r="AP195" s="1">
        <v>0.7</v>
      </c>
      <c r="AQ195" s="1">
        <v>0.9</v>
      </c>
      <c r="AR195" s="1">
        <v>1.6</v>
      </c>
    </row>
    <row r="196" ht="15.75" customHeight="1">
      <c r="A196" s="1" t="str">
        <f>CONCATENATE(Scores!A196,"+++",Scores!C196)</f>
        <v>Coastal Carolina+++Temple</v>
      </c>
      <c r="B196" s="1">
        <f>Scores!B196</f>
        <v>28</v>
      </c>
      <c r="C196" s="1">
        <f t="array" ref="C196:W196">XLOOKUP(LEFT(A196,SEARCH("+",A196)-1),'Offensive Data'!$A$2:$A$134,'Offensive Data'!$D$2:$X$134)</f>
        <v>15</v>
      </c>
      <c r="D196" s="1">
        <v>27.6</v>
      </c>
      <c r="E196" s="1">
        <v>54.3</v>
      </c>
      <c r="F196" s="1">
        <v>202.0</v>
      </c>
      <c r="G196" s="1">
        <v>1.5</v>
      </c>
      <c r="H196" s="1">
        <v>37.2</v>
      </c>
      <c r="I196" s="1">
        <v>172.5</v>
      </c>
      <c r="J196" s="1">
        <v>4.6</v>
      </c>
      <c r="K196" s="1">
        <v>1.6</v>
      </c>
      <c r="L196" s="1">
        <v>64.8</v>
      </c>
      <c r="M196" s="1">
        <v>374.5</v>
      </c>
      <c r="N196" s="1">
        <v>5.8</v>
      </c>
      <c r="O196" s="1">
        <v>7.9</v>
      </c>
      <c r="P196" s="1">
        <v>8.4</v>
      </c>
      <c r="Q196" s="1">
        <v>1.8</v>
      </c>
      <c r="R196" s="1">
        <v>18.1</v>
      </c>
      <c r="S196" s="1">
        <v>6.9</v>
      </c>
      <c r="T196" s="1">
        <v>63.8</v>
      </c>
      <c r="U196" s="1">
        <v>0.5</v>
      </c>
      <c r="V196" s="1">
        <v>0.8</v>
      </c>
      <c r="W196" s="1">
        <v>1.3</v>
      </c>
      <c r="X196" s="1">
        <f t="array" ref="X196:AR196">XLOOKUP(MID(A196, SEARCH("+++", A196) + 3, LEN(A196)),'Defensive Data'!$A$2:$A$134,'Defensive Data'!$D$2:$X$134)</f>
        <v>16.3</v>
      </c>
      <c r="Y196" s="1">
        <v>27.8</v>
      </c>
      <c r="Z196" s="1">
        <v>58.9</v>
      </c>
      <c r="AA196" s="1">
        <v>191.7</v>
      </c>
      <c r="AB196" s="1">
        <v>1.7</v>
      </c>
      <c r="AC196" s="1">
        <v>40.8</v>
      </c>
      <c r="AD196" s="1">
        <v>226.1</v>
      </c>
      <c r="AE196" s="1">
        <v>5.5</v>
      </c>
      <c r="AF196" s="1">
        <v>2.5</v>
      </c>
      <c r="AG196" s="1">
        <v>68.6</v>
      </c>
      <c r="AH196" s="1">
        <v>417.8</v>
      </c>
      <c r="AI196" s="1">
        <v>6.1</v>
      </c>
      <c r="AJ196" s="1">
        <v>8.4</v>
      </c>
      <c r="AK196" s="1">
        <v>10.0</v>
      </c>
      <c r="AL196" s="1">
        <v>1.6</v>
      </c>
      <c r="AM196" s="1">
        <v>20.0</v>
      </c>
      <c r="AN196" s="1">
        <v>5.4</v>
      </c>
      <c r="AO196" s="1">
        <v>47.1</v>
      </c>
      <c r="AP196" s="1">
        <v>0.5</v>
      </c>
      <c r="AQ196" s="1">
        <v>0.8</v>
      </c>
      <c r="AR196" s="1">
        <v>1.3</v>
      </c>
    </row>
    <row r="197" ht="15.75" customHeight="1">
      <c r="A197" s="1" t="str">
        <f>CONCATENATE(Scores!A197,"+++",Scores!C197)</f>
        <v>Colorado+++Colorado State</v>
      </c>
      <c r="B197" s="1">
        <f>Scores!B197</f>
        <v>28</v>
      </c>
      <c r="C197" s="1">
        <f t="array" ref="C197:W197">XLOOKUP(LEFT(A197,SEARCH("+",A197)-1),'Offensive Data'!$A$2:$A$134,'Offensive Data'!$D$2:$X$134)</f>
        <v>27.2</v>
      </c>
      <c r="D197" s="1">
        <v>37.1</v>
      </c>
      <c r="E197" s="1">
        <v>73.2</v>
      </c>
      <c r="F197" s="1">
        <v>318.0</v>
      </c>
      <c r="G197" s="1">
        <v>2.8</v>
      </c>
      <c r="H197" s="1">
        <v>26.2</v>
      </c>
      <c r="I197" s="1">
        <v>65.2</v>
      </c>
      <c r="J197" s="1">
        <v>2.5</v>
      </c>
      <c r="K197" s="1">
        <v>1.2</v>
      </c>
      <c r="L197" s="1">
        <v>63.3</v>
      </c>
      <c r="M197" s="1">
        <v>383.2</v>
      </c>
      <c r="N197" s="1">
        <v>6.1</v>
      </c>
      <c r="O197" s="1">
        <v>13.2</v>
      </c>
      <c r="P197" s="1">
        <v>4.8</v>
      </c>
      <c r="Q197" s="1">
        <v>2.4</v>
      </c>
      <c r="R197" s="1">
        <v>20.4</v>
      </c>
      <c r="S197" s="1">
        <v>7.7</v>
      </c>
      <c r="T197" s="1">
        <v>67.8</v>
      </c>
      <c r="U197" s="1">
        <v>0.4</v>
      </c>
      <c r="V197" s="1">
        <v>0.8</v>
      </c>
      <c r="W197" s="1">
        <v>1.2</v>
      </c>
      <c r="X197" s="1">
        <f t="array" ref="X197:AR197">XLOOKUP(MID(A197, SEARCH("+++", A197) + 3, LEN(A197)),'Defensive Data'!$A$2:$A$134,'Defensive Data'!$D$2:$X$134)</f>
        <v>20.2</v>
      </c>
      <c r="Y197" s="1">
        <v>32.9</v>
      </c>
      <c r="Z197" s="1">
        <v>61.2</v>
      </c>
      <c r="AA197" s="1">
        <v>234.7</v>
      </c>
      <c r="AB197" s="1">
        <v>1.5</v>
      </c>
      <c r="AC197" s="1">
        <v>35.2</v>
      </c>
      <c r="AD197" s="1">
        <v>159.8</v>
      </c>
      <c r="AE197" s="1">
        <v>4.5</v>
      </c>
      <c r="AF197" s="1">
        <v>1.6</v>
      </c>
      <c r="AG197" s="1">
        <v>68.1</v>
      </c>
      <c r="AH197" s="1">
        <v>394.5</v>
      </c>
      <c r="AI197" s="1">
        <v>5.8</v>
      </c>
      <c r="AJ197" s="1">
        <v>10.4</v>
      </c>
      <c r="AK197" s="1">
        <v>7.8</v>
      </c>
      <c r="AL197" s="1">
        <v>1.8</v>
      </c>
      <c r="AM197" s="1">
        <v>20.0</v>
      </c>
      <c r="AN197" s="1">
        <v>6.7</v>
      </c>
      <c r="AO197" s="1">
        <v>56.2</v>
      </c>
      <c r="AP197" s="1">
        <v>0.8</v>
      </c>
      <c r="AQ197" s="1">
        <v>0.8</v>
      </c>
      <c r="AR197" s="1">
        <v>1.6</v>
      </c>
    </row>
    <row r="198" ht="15.75" customHeight="1">
      <c r="A198" s="1" t="str">
        <f>CONCATENATE(Scores!A198,"+++",Scores!C198)</f>
        <v>Duke+++Connecticut</v>
      </c>
      <c r="B198" s="1">
        <f>Scores!B198</f>
        <v>26</v>
      </c>
      <c r="C198" s="1">
        <f t="array" ref="C198:W198">XLOOKUP(LEFT(A198,SEARCH("+",A198)-1),'Offensive Data'!$A$2:$A$134,'Offensive Data'!$D$2:$X$134)</f>
        <v>21.5</v>
      </c>
      <c r="D198" s="1">
        <v>35.9</v>
      </c>
      <c r="E198" s="1">
        <v>60.0</v>
      </c>
      <c r="F198" s="1">
        <v>244.3</v>
      </c>
      <c r="G198" s="1">
        <v>2.2</v>
      </c>
      <c r="H198" s="1">
        <v>29.3</v>
      </c>
      <c r="I198" s="1">
        <v>92.5</v>
      </c>
      <c r="J198" s="1">
        <v>3.2</v>
      </c>
      <c r="K198" s="1">
        <v>1.0</v>
      </c>
      <c r="L198" s="1">
        <v>65.2</v>
      </c>
      <c r="M198" s="1">
        <v>336.8</v>
      </c>
      <c r="N198" s="1">
        <v>5.2</v>
      </c>
      <c r="O198" s="1">
        <v>10.8</v>
      </c>
      <c r="P198" s="1">
        <v>4.6</v>
      </c>
      <c r="Q198" s="1">
        <v>2.2</v>
      </c>
      <c r="R198" s="1">
        <v>17.6</v>
      </c>
      <c r="S198" s="1">
        <v>5.2</v>
      </c>
      <c r="T198" s="1">
        <v>50.1</v>
      </c>
      <c r="U198" s="1">
        <v>0.5</v>
      </c>
      <c r="V198" s="1">
        <v>1.0</v>
      </c>
      <c r="W198" s="1">
        <v>1.5</v>
      </c>
      <c r="X198" s="1">
        <f t="array" ref="X198:AR198">XLOOKUP(MID(A198, SEARCH("+++", A198) + 3, LEN(A198)),'Defensive Data'!$A$2:$A$134,'Defensive Data'!$D$2:$X$134)</f>
        <v>20.6</v>
      </c>
      <c r="Y198" s="1">
        <v>33.3</v>
      </c>
      <c r="Z198" s="1">
        <v>61.9</v>
      </c>
      <c r="AA198" s="1">
        <v>215.0</v>
      </c>
      <c r="AB198" s="1">
        <v>1.2</v>
      </c>
      <c r="AC198" s="1">
        <v>34.8</v>
      </c>
      <c r="AD198" s="1">
        <v>132.3</v>
      </c>
      <c r="AE198" s="1">
        <v>3.8</v>
      </c>
      <c r="AF198" s="1">
        <v>1.2</v>
      </c>
      <c r="AG198" s="1">
        <v>68.2</v>
      </c>
      <c r="AH198" s="1">
        <v>347.3</v>
      </c>
      <c r="AI198" s="1">
        <v>5.1</v>
      </c>
      <c r="AJ198" s="1">
        <v>8.8</v>
      </c>
      <c r="AK198" s="1">
        <v>7.4</v>
      </c>
      <c r="AL198" s="1">
        <v>1.8</v>
      </c>
      <c r="AM198" s="1">
        <v>18.1</v>
      </c>
      <c r="AN198" s="1">
        <v>7.7</v>
      </c>
      <c r="AO198" s="1">
        <v>64.2</v>
      </c>
      <c r="AP198" s="1">
        <v>0.4</v>
      </c>
      <c r="AQ198" s="1">
        <v>0.8</v>
      </c>
      <c r="AR198" s="1">
        <v>1.2</v>
      </c>
    </row>
    <row r="199" ht="15.75" customHeight="1">
      <c r="A199" s="1" t="str">
        <f>CONCATENATE(Scores!A199,"+++",Scores!C199)</f>
        <v>Eastern Michigan+++Jacksonville State</v>
      </c>
      <c r="B199" s="1">
        <f>Scores!B199</f>
        <v>37</v>
      </c>
      <c r="C199" s="1">
        <f t="array" ref="C199:W199">XLOOKUP(LEFT(A199,SEARCH("+",A199)-1),'Offensive Data'!$A$2:$A$134,'Offensive Data'!$D$2:$X$134)</f>
        <v>20.8</v>
      </c>
      <c r="D199" s="1">
        <v>34.7</v>
      </c>
      <c r="E199" s="1">
        <v>59.9</v>
      </c>
      <c r="F199" s="1">
        <v>236.0</v>
      </c>
      <c r="G199" s="1">
        <v>1.4</v>
      </c>
      <c r="H199" s="1">
        <v>39.8</v>
      </c>
      <c r="I199" s="1">
        <v>141.8</v>
      </c>
      <c r="J199" s="1">
        <v>3.6</v>
      </c>
      <c r="K199" s="1">
        <v>1.4</v>
      </c>
      <c r="L199" s="1">
        <v>74.4</v>
      </c>
      <c r="M199" s="1">
        <v>377.8</v>
      </c>
      <c r="N199" s="1">
        <v>5.1</v>
      </c>
      <c r="O199" s="1">
        <v>10.8</v>
      </c>
      <c r="P199" s="1">
        <v>8.5</v>
      </c>
      <c r="Q199" s="1">
        <v>2.3</v>
      </c>
      <c r="R199" s="1">
        <v>21.5</v>
      </c>
      <c r="S199" s="1">
        <v>6.4</v>
      </c>
      <c r="T199" s="1">
        <v>62.0</v>
      </c>
      <c r="U199" s="1">
        <v>0.6</v>
      </c>
      <c r="V199" s="1">
        <v>0.8</v>
      </c>
      <c r="W199" s="1">
        <v>1.4</v>
      </c>
      <c r="X199" s="1">
        <f t="array" ref="X199:AR199">XLOOKUP(MID(A199, SEARCH("+++", A199) + 3, LEN(A199)),'Defensive Data'!$A$2:$A$134,'Defensive Data'!$D$2:$X$134)</f>
        <v>17.6</v>
      </c>
      <c r="Y199" s="1">
        <v>29.3</v>
      </c>
      <c r="Z199" s="1">
        <v>60.2</v>
      </c>
      <c r="AA199" s="1">
        <v>218.2</v>
      </c>
      <c r="AB199" s="1">
        <v>1.5</v>
      </c>
      <c r="AC199" s="1">
        <v>41.0</v>
      </c>
      <c r="AD199" s="1">
        <v>174.8</v>
      </c>
      <c r="AE199" s="1">
        <v>4.3</v>
      </c>
      <c r="AF199" s="1">
        <v>1.5</v>
      </c>
      <c r="AG199" s="1">
        <v>70.3</v>
      </c>
      <c r="AH199" s="1">
        <v>393.0</v>
      </c>
      <c r="AI199" s="1">
        <v>5.6</v>
      </c>
      <c r="AJ199" s="1">
        <v>10.1</v>
      </c>
      <c r="AK199" s="1">
        <v>9.1</v>
      </c>
      <c r="AL199" s="1">
        <v>2.5</v>
      </c>
      <c r="AM199" s="1">
        <v>21.7</v>
      </c>
      <c r="AN199" s="1">
        <v>6.1</v>
      </c>
      <c r="AO199" s="1">
        <v>56.9</v>
      </c>
      <c r="AP199" s="1">
        <v>0.9</v>
      </c>
      <c r="AQ199" s="1">
        <v>0.9</v>
      </c>
      <c r="AR199" s="1">
        <v>1.7</v>
      </c>
    </row>
    <row r="200" ht="15.75" customHeight="1">
      <c r="A200" s="1" t="str">
        <f>CONCATENATE(Scores!A200,"+++",Scores!C200)</f>
        <v>Florida Atlantic+++Florida International</v>
      </c>
      <c r="B200" s="1">
        <f>Scores!B200</f>
        <v>38</v>
      </c>
      <c r="C200" s="1">
        <f t="array" ref="C200:W200">XLOOKUP(LEFT(A200,SEARCH("+",A200)-1),'Offensive Data'!$A$2:$A$134,'Offensive Data'!$D$2:$X$134)</f>
        <v>17.1</v>
      </c>
      <c r="D200" s="1">
        <v>29.2</v>
      </c>
      <c r="E200" s="1">
        <v>58.6</v>
      </c>
      <c r="F200" s="1">
        <v>208.6</v>
      </c>
      <c r="G200" s="1">
        <v>1.2</v>
      </c>
      <c r="H200" s="1">
        <v>38.2</v>
      </c>
      <c r="I200" s="1">
        <v>189.0</v>
      </c>
      <c r="J200" s="1">
        <v>5.0</v>
      </c>
      <c r="K200" s="1">
        <v>2.0</v>
      </c>
      <c r="L200" s="1">
        <v>67.3</v>
      </c>
      <c r="M200" s="1">
        <v>397.6</v>
      </c>
      <c r="N200" s="1">
        <v>5.9</v>
      </c>
      <c r="O200" s="1">
        <v>9.3</v>
      </c>
      <c r="P200" s="1">
        <v>8.5</v>
      </c>
      <c r="Q200" s="1">
        <v>1.7</v>
      </c>
      <c r="R200" s="1">
        <v>19.5</v>
      </c>
      <c r="S200" s="1">
        <v>6.6</v>
      </c>
      <c r="T200" s="1">
        <v>51.6</v>
      </c>
      <c r="U200" s="1">
        <v>0.6</v>
      </c>
      <c r="V200" s="1">
        <v>0.9</v>
      </c>
      <c r="W200" s="1">
        <v>1.5</v>
      </c>
      <c r="X200" s="1">
        <f t="array" ref="X200:AR200">XLOOKUP(MID(A200, SEARCH("+++", A200) + 3, LEN(A200)),'Defensive Data'!$A$2:$A$134,'Defensive Data'!$D$2:$X$134)</f>
        <v>17.6</v>
      </c>
      <c r="Y200" s="1">
        <v>29.8</v>
      </c>
      <c r="Z200" s="1">
        <v>59.1</v>
      </c>
      <c r="AA200" s="1">
        <v>179.6</v>
      </c>
      <c r="AB200" s="1">
        <v>0.8</v>
      </c>
      <c r="AC200" s="1">
        <v>41.0</v>
      </c>
      <c r="AD200" s="1">
        <v>191.3</v>
      </c>
      <c r="AE200" s="1">
        <v>4.7</v>
      </c>
      <c r="AF200" s="1">
        <v>2.3</v>
      </c>
      <c r="AG200" s="1">
        <v>70.8</v>
      </c>
      <c r="AH200" s="1">
        <v>370.9</v>
      </c>
      <c r="AI200" s="1">
        <v>5.2</v>
      </c>
      <c r="AJ200" s="1">
        <v>8.0</v>
      </c>
      <c r="AK200" s="1">
        <v>10.3</v>
      </c>
      <c r="AL200" s="1">
        <v>1.4</v>
      </c>
      <c r="AM200" s="1">
        <v>19.7</v>
      </c>
      <c r="AN200" s="1">
        <v>6.6</v>
      </c>
      <c r="AO200" s="1">
        <v>54.8</v>
      </c>
      <c r="AP200" s="1">
        <v>0.4</v>
      </c>
      <c r="AQ200" s="1">
        <v>0.9</v>
      </c>
      <c r="AR200" s="1">
        <v>1.3</v>
      </c>
    </row>
    <row r="201" ht="15.75" customHeight="1">
      <c r="A201" s="1" t="str">
        <f>CONCATENATE(Scores!A201,"+++",Scores!C201)</f>
        <v>Fresno State+++New Mexico State</v>
      </c>
      <c r="B201" s="1">
        <f>Scores!B201</f>
        <v>48</v>
      </c>
      <c r="C201" s="1">
        <f t="array" ref="C201:W201">XLOOKUP(LEFT(A201,SEARCH("+",A201)-1),'Offensive Data'!$A$2:$A$134,'Offensive Data'!$D$2:$X$134)</f>
        <v>23.1</v>
      </c>
      <c r="D201" s="1">
        <v>33.2</v>
      </c>
      <c r="E201" s="1">
        <v>69.4</v>
      </c>
      <c r="F201" s="1">
        <v>242.5</v>
      </c>
      <c r="G201" s="1">
        <v>1.5</v>
      </c>
      <c r="H201" s="1">
        <v>29.5</v>
      </c>
      <c r="I201" s="1">
        <v>98.2</v>
      </c>
      <c r="J201" s="1">
        <v>3.3</v>
      </c>
      <c r="K201" s="1">
        <v>1.6</v>
      </c>
      <c r="L201" s="1">
        <v>62.7</v>
      </c>
      <c r="M201" s="1">
        <v>340.6</v>
      </c>
      <c r="N201" s="1">
        <v>5.4</v>
      </c>
      <c r="O201" s="1">
        <v>10.8</v>
      </c>
      <c r="P201" s="1">
        <v>5.6</v>
      </c>
      <c r="Q201" s="1">
        <v>2.4</v>
      </c>
      <c r="R201" s="1">
        <v>18.8</v>
      </c>
      <c r="S201" s="1">
        <v>6.2</v>
      </c>
      <c r="T201" s="1">
        <v>54.7</v>
      </c>
      <c r="U201" s="1">
        <v>0.2</v>
      </c>
      <c r="V201" s="1">
        <v>1.1</v>
      </c>
      <c r="W201" s="1">
        <v>1.3</v>
      </c>
      <c r="X201" s="1">
        <f t="array" ref="X201:AR201">XLOOKUP(MID(A201, SEARCH("+++", A201) + 3, LEN(A201)),'Defensive Data'!$A$2:$A$134,'Defensive Data'!$D$2:$X$134)</f>
        <v>18.3</v>
      </c>
      <c r="Y201" s="1">
        <v>31.8</v>
      </c>
      <c r="Z201" s="1">
        <v>57.7</v>
      </c>
      <c r="AA201" s="1">
        <v>251.6</v>
      </c>
      <c r="AB201" s="1">
        <v>1.8</v>
      </c>
      <c r="AC201" s="1">
        <v>38.3</v>
      </c>
      <c r="AD201" s="1">
        <v>195.3</v>
      </c>
      <c r="AE201" s="1">
        <v>5.1</v>
      </c>
      <c r="AF201" s="1">
        <v>2.4</v>
      </c>
      <c r="AG201" s="1">
        <v>70.0</v>
      </c>
      <c r="AH201" s="1">
        <v>446.8</v>
      </c>
      <c r="AI201" s="1">
        <v>6.4</v>
      </c>
      <c r="AJ201" s="1">
        <v>10.3</v>
      </c>
      <c r="AK201" s="1">
        <v>9.3</v>
      </c>
      <c r="AL201" s="1">
        <v>1.6</v>
      </c>
      <c r="AM201" s="1">
        <v>21.3</v>
      </c>
      <c r="AN201" s="1">
        <v>7.0</v>
      </c>
      <c r="AO201" s="1">
        <v>75.6</v>
      </c>
      <c r="AP201" s="1">
        <v>0.1</v>
      </c>
      <c r="AQ201" s="1">
        <v>0.8</v>
      </c>
      <c r="AR201" s="1">
        <v>0.8</v>
      </c>
    </row>
    <row r="202" ht="15.75" customHeight="1">
      <c r="A202" s="1" t="str">
        <f>CONCATENATE(Scores!A202,"+++",Scores!C202)</f>
        <v>Georgia+++Kentucky</v>
      </c>
      <c r="B202" s="1">
        <f>Scores!B202</f>
        <v>13</v>
      </c>
      <c r="C202" s="1">
        <f t="array" ref="C202:W202">XLOOKUP(LEFT(A202,SEARCH("+",A202)-1),'Offensive Data'!$A$2:$A$134,'Offensive Data'!$D$2:$X$134)</f>
        <v>24</v>
      </c>
      <c r="D202" s="1">
        <v>36.6</v>
      </c>
      <c r="E202" s="1">
        <v>65.5</v>
      </c>
      <c r="F202" s="1">
        <v>281.0</v>
      </c>
      <c r="G202" s="1">
        <v>2.1</v>
      </c>
      <c r="H202" s="1">
        <v>30.6</v>
      </c>
      <c r="I202" s="1">
        <v>124.4</v>
      </c>
      <c r="J202" s="1">
        <v>4.1</v>
      </c>
      <c r="K202" s="1">
        <v>1.7</v>
      </c>
      <c r="L202" s="1">
        <v>67.3</v>
      </c>
      <c r="M202" s="1">
        <v>405.4</v>
      </c>
      <c r="N202" s="1">
        <v>6.0</v>
      </c>
      <c r="O202" s="1">
        <v>12.9</v>
      </c>
      <c r="P202" s="1">
        <v>7.3</v>
      </c>
      <c r="Q202" s="1">
        <v>1.6</v>
      </c>
      <c r="R202" s="1">
        <v>21.9</v>
      </c>
      <c r="S202" s="1">
        <v>5.7</v>
      </c>
      <c r="T202" s="1">
        <v>53.6</v>
      </c>
      <c r="U202" s="1">
        <v>0.5</v>
      </c>
      <c r="V202" s="1">
        <v>0.9</v>
      </c>
      <c r="W202" s="1">
        <v>1.4</v>
      </c>
      <c r="X202" s="1">
        <f t="array" ref="X202:AR202">XLOOKUP(MID(A202, SEARCH("+++", A202) + 3, LEN(A202)),'Defensive Data'!$A$2:$A$134,'Defensive Data'!$D$2:$X$134)</f>
        <v>14.8</v>
      </c>
      <c r="Y202" s="1">
        <v>23.3</v>
      </c>
      <c r="Z202" s="1">
        <v>63.4</v>
      </c>
      <c r="AA202" s="1">
        <v>183.7</v>
      </c>
      <c r="AB202" s="1">
        <v>0.8</v>
      </c>
      <c r="AC202" s="1">
        <v>36.3</v>
      </c>
      <c r="AD202" s="1">
        <v>161.8</v>
      </c>
      <c r="AE202" s="1">
        <v>4.5</v>
      </c>
      <c r="AF202" s="1">
        <v>1.7</v>
      </c>
      <c r="AG202" s="1">
        <v>59.6</v>
      </c>
      <c r="AH202" s="1">
        <v>345.5</v>
      </c>
      <c r="AI202" s="1">
        <v>5.8</v>
      </c>
      <c r="AJ202" s="1">
        <v>7.8</v>
      </c>
      <c r="AK202" s="1">
        <v>8.7</v>
      </c>
      <c r="AL202" s="1">
        <v>1.4</v>
      </c>
      <c r="AM202" s="1">
        <v>17.9</v>
      </c>
      <c r="AN202" s="1">
        <v>6.8</v>
      </c>
      <c r="AO202" s="1">
        <v>55.2</v>
      </c>
      <c r="AP202" s="1">
        <v>0.5</v>
      </c>
      <c r="AQ202" s="1">
        <v>0.8</v>
      </c>
      <c r="AR202" s="1">
        <v>1.3</v>
      </c>
    </row>
    <row r="203" ht="15.75" customHeight="1">
      <c r="A203" s="1" t="str">
        <f>CONCATENATE(Scores!A203,"+++",Scores!C203)</f>
        <v>Georgia Southern+++South Carolina State</v>
      </c>
      <c r="B203" s="1">
        <f>Scores!B203</f>
        <v>42</v>
      </c>
      <c r="C203" s="1">
        <f t="array" ref="C203:W203">XLOOKUP(LEFT(A203,SEARCH("+",A203)-1),'Offensive Data'!$A$2:$A$134,'Offensive Data'!$D$2:$X$134)</f>
        <v>22.2</v>
      </c>
      <c r="D203" s="1">
        <v>34.3</v>
      </c>
      <c r="E203" s="1">
        <v>64.8</v>
      </c>
      <c r="F203" s="1">
        <v>237.8</v>
      </c>
      <c r="G203" s="1">
        <v>1.6</v>
      </c>
      <c r="H203" s="1">
        <v>34.4</v>
      </c>
      <c r="I203" s="1">
        <v>128.4</v>
      </c>
      <c r="J203" s="1">
        <v>3.7</v>
      </c>
      <c r="K203" s="1">
        <v>1.8</v>
      </c>
      <c r="L203" s="1">
        <v>68.7</v>
      </c>
      <c r="M203" s="1">
        <v>366.2</v>
      </c>
      <c r="N203" s="1">
        <v>5.3</v>
      </c>
      <c r="O203" s="1">
        <v>10.7</v>
      </c>
      <c r="P203" s="1">
        <v>8.4</v>
      </c>
      <c r="Q203" s="1">
        <v>2.7</v>
      </c>
      <c r="R203" s="1">
        <v>21.8</v>
      </c>
      <c r="S203" s="1">
        <v>5.6</v>
      </c>
      <c r="T203" s="1">
        <v>48.3</v>
      </c>
      <c r="U203" s="1">
        <v>0.8</v>
      </c>
      <c r="V203" s="1">
        <v>0.8</v>
      </c>
      <c r="W203" s="1">
        <v>1.7</v>
      </c>
      <c r="X203" s="1" t="str">
        <f t="array" ref="X203">XLOOKUP(MID(A203, SEARCH("+++", A203) + 3, LEN(A203)),'Defensive Data'!$A$2:$A$134,'Defensive Data'!$D$2:$X$134)</f>
        <v>#N/A</v>
      </c>
    </row>
    <row r="204" ht="15.75" customHeight="1">
      <c r="A204" s="1" t="str">
        <f>CONCATENATE(Scores!A204,"+++",Scores!C204)</f>
        <v>Georgia State+++Vanderbilt</v>
      </c>
      <c r="B204" s="1">
        <f>Scores!B204</f>
        <v>36</v>
      </c>
      <c r="C204" s="1">
        <f t="array" ref="C204:W204">XLOOKUP(LEFT(A204,SEARCH("+",A204)-1),'Offensive Data'!$A$2:$A$134,'Offensive Data'!$D$2:$X$134)</f>
        <v>22.6</v>
      </c>
      <c r="D204" s="1">
        <v>37.4</v>
      </c>
      <c r="E204" s="1">
        <v>60.4</v>
      </c>
      <c r="F204" s="1">
        <v>255.8</v>
      </c>
      <c r="G204" s="1">
        <v>1.8</v>
      </c>
      <c r="H204" s="1">
        <v>30.4</v>
      </c>
      <c r="I204" s="1">
        <v>133.3</v>
      </c>
      <c r="J204" s="1">
        <v>4.4</v>
      </c>
      <c r="K204" s="1">
        <v>1.1</v>
      </c>
      <c r="L204" s="1">
        <v>67.8</v>
      </c>
      <c r="M204" s="1">
        <v>389.0</v>
      </c>
      <c r="N204" s="1">
        <v>5.7</v>
      </c>
      <c r="O204" s="1">
        <v>11.8</v>
      </c>
      <c r="P204" s="1">
        <v>6.9</v>
      </c>
      <c r="Q204" s="1">
        <v>2.0</v>
      </c>
      <c r="R204" s="1">
        <v>20.8</v>
      </c>
      <c r="S204" s="1">
        <v>5.1</v>
      </c>
      <c r="T204" s="1">
        <v>49.1</v>
      </c>
      <c r="U204" s="1">
        <v>0.5</v>
      </c>
      <c r="V204" s="1">
        <v>1.1</v>
      </c>
      <c r="W204" s="1">
        <v>1.6</v>
      </c>
      <c r="X204" s="1">
        <f t="array" ref="X204:AR204">XLOOKUP(MID(A204, SEARCH("+++", A204) + 3, LEN(A204)),'Defensive Data'!$A$2:$A$134,'Defensive Data'!$D$2:$X$134)</f>
        <v>20.4</v>
      </c>
      <c r="Y204" s="1">
        <v>29.9</v>
      </c>
      <c r="Z204" s="1">
        <v>68.1</v>
      </c>
      <c r="AA204" s="1">
        <v>235.7</v>
      </c>
      <c r="AB204" s="1">
        <v>1.8</v>
      </c>
      <c r="AC204" s="1">
        <v>32.8</v>
      </c>
      <c r="AD204" s="1">
        <v>140.8</v>
      </c>
      <c r="AE204" s="1">
        <v>4.3</v>
      </c>
      <c r="AF204" s="1">
        <v>1.0</v>
      </c>
      <c r="AG204" s="1">
        <v>62.8</v>
      </c>
      <c r="AH204" s="1">
        <v>376.5</v>
      </c>
      <c r="AI204" s="1">
        <v>6.0</v>
      </c>
      <c r="AJ204" s="1">
        <v>10.9</v>
      </c>
      <c r="AK204" s="1">
        <v>8.1</v>
      </c>
      <c r="AL204" s="1">
        <v>1.6</v>
      </c>
      <c r="AM204" s="1">
        <v>20.6</v>
      </c>
      <c r="AN204" s="1">
        <v>6.8</v>
      </c>
      <c r="AO204" s="1">
        <v>58.8</v>
      </c>
      <c r="AP204" s="1">
        <v>0.5</v>
      </c>
      <c r="AQ204" s="1">
        <v>0.8</v>
      </c>
      <c r="AR204" s="1">
        <v>1.2</v>
      </c>
    </row>
    <row r="205" ht="15.75" customHeight="1">
      <c r="A205" s="1" t="str">
        <f>CONCATENATE(Scores!A205,"+++",Scores!C205)</f>
        <v>Georgia Tech+++Virginia Military Institute</v>
      </c>
      <c r="B205" s="1">
        <f>Scores!B205</f>
        <v>59</v>
      </c>
      <c r="C205" s="1">
        <f t="array" ref="C205:W205">XLOOKUP(LEFT(A205,SEARCH("+",A205)-1),'Offensive Data'!$A$2:$A$134,'Offensive Data'!$D$2:$X$134)</f>
        <v>20.7</v>
      </c>
      <c r="D205" s="1">
        <v>31.7</v>
      </c>
      <c r="E205" s="1">
        <v>65.3</v>
      </c>
      <c r="F205" s="1">
        <v>237.5</v>
      </c>
      <c r="G205" s="1">
        <v>1.3</v>
      </c>
      <c r="H205" s="1">
        <v>37.8</v>
      </c>
      <c r="I205" s="1">
        <v>187.0</v>
      </c>
      <c r="J205" s="1">
        <v>5.0</v>
      </c>
      <c r="K205" s="1">
        <v>2.2</v>
      </c>
      <c r="L205" s="1">
        <v>69.5</v>
      </c>
      <c r="M205" s="1">
        <v>424.5</v>
      </c>
      <c r="N205" s="1">
        <v>6.1</v>
      </c>
      <c r="O205" s="1">
        <v>10.6</v>
      </c>
      <c r="P205" s="1">
        <v>9.7</v>
      </c>
      <c r="Q205" s="1">
        <v>1.3</v>
      </c>
      <c r="R205" s="1">
        <v>21.6</v>
      </c>
      <c r="S205" s="1">
        <v>5.4</v>
      </c>
      <c r="T205" s="1">
        <v>43.3</v>
      </c>
      <c r="U205" s="1">
        <v>0.2</v>
      </c>
      <c r="V205" s="1">
        <v>0.5</v>
      </c>
      <c r="W205" s="1">
        <v>0.8</v>
      </c>
      <c r="X205" s="1" t="str">
        <f t="array" ref="X205">XLOOKUP(MID(A205, SEARCH("+++", A205) + 3, LEN(A205)),'Defensive Data'!$A$2:$A$134,'Defensive Data'!$D$2:$X$134)</f>
        <v>#N/A</v>
      </c>
    </row>
    <row r="206" ht="15.75" customHeight="1">
      <c r="A206" s="1" t="str">
        <f>CONCATENATE(Scores!A206,"+++",Scores!C206)</f>
        <v>Houston+++Rice</v>
      </c>
      <c r="B206" s="1">
        <f>Scores!B206</f>
        <v>33</v>
      </c>
      <c r="C206" s="1">
        <f t="array" ref="C206:W206">XLOOKUP(LEFT(A206,SEARCH("+",A206)-1),'Offensive Data'!$A$2:$A$134,'Offensive Data'!$D$2:$X$134)</f>
        <v>15.2</v>
      </c>
      <c r="D206" s="1">
        <v>23.3</v>
      </c>
      <c r="E206" s="1">
        <v>65.0</v>
      </c>
      <c r="F206" s="1">
        <v>152.7</v>
      </c>
      <c r="G206" s="1">
        <v>0.8</v>
      </c>
      <c r="H206" s="1">
        <v>35.8</v>
      </c>
      <c r="I206" s="1">
        <v>135.4</v>
      </c>
      <c r="J206" s="1">
        <v>3.8</v>
      </c>
      <c r="K206" s="1">
        <v>0.8</v>
      </c>
      <c r="L206" s="1">
        <v>59.2</v>
      </c>
      <c r="M206" s="1">
        <v>288.1</v>
      </c>
      <c r="N206" s="1">
        <v>4.9</v>
      </c>
      <c r="O206" s="1">
        <v>6.4</v>
      </c>
      <c r="P206" s="1">
        <v>7.3</v>
      </c>
      <c r="Q206" s="1">
        <v>1.3</v>
      </c>
      <c r="R206" s="1">
        <v>15.1</v>
      </c>
      <c r="S206" s="1">
        <v>5.5</v>
      </c>
      <c r="T206" s="1">
        <v>51.9</v>
      </c>
      <c r="U206" s="1">
        <v>0.8</v>
      </c>
      <c r="V206" s="1">
        <v>1.4</v>
      </c>
      <c r="W206" s="1">
        <v>2.3</v>
      </c>
      <c r="X206" s="1">
        <f t="array" ref="X206:AR206">XLOOKUP(MID(A206, SEARCH("+++", A206) + 3, LEN(A206)),'Defensive Data'!$A$2:$A$134,'Defensive Data'!$D$2:$X$134)</f>
        <v>15</v>
      </c>
      <c r="Y206" s="1">
        <v>27.1</v>
      </c>
      <c r="Z206" s="1">
        <v>55.4</v>
      </c>
      <c r="AA206" s="1">
        <v>173.8</v>
      </c>
      <c r="AB206" s="1">
        <v>1.5</v>
      </c>
      <c r="AC206" s="1">
        <v>39.3</v>
      </c>
      <c r="AD206" s="1">
        <v>160.6</v>
      </c>
      <c r="AE206" s="1">
        <v>4.1</v>
      </c>
      <c r="AF206" s="1">
        <v>1.4</v>
      </c>
      <c r="AG206" s="1">
        <v>66.3</v>
      </c>
      <c r="AH206" s="1">
        <v>334.4</v>
      </c>
      <c r="AI206" s="1">
        <v>5.0</v>
      </c>
      <c r="AJ206" s="1">
        <v>7.2</v>
      </c>
      <c r="AK206" s="1">
        <v>9.1</v>
      </c>
      <c r="AL206" s="1">
        <v>1.6</v>
      </c>
      <c r="AM206" s="1">
        <v>17.8</v>
      </c>
      <c r="AN206" s="1">
        <v>6.2</v>
      </c>
      <c r="AO206" s="1">
        <v>59.0</v>
      </c>
      <c r="AP206" s="1">
        <v>0.3</v>
      </c>
      <c r="AQ206" s="1">
        <v>0.7</v>
      </c>
      <c r="AR206" s="1">
        <v>1.0</v>
      </c>
    </row>
    <row r="207" ht="15.75" customHeight="1">
      <c r="A207" s="1" t="str">
        <f>CONCATENATE(Scores!A207,"+++",Scores!C207)</f>
        <v>Illinois+++Central Michigan</v>
      </c>
      <c r="B207" s="1">
        <f>Scores!B207</f>
        <v>30</v>
      </c>
      <c r="C207" s="1">
        <f t="array" ref="C207:W207">XLOOKUP(LEFT(A207,SEARCH("+",A207)-1),'Offensive Data'!$A$2:$A$134,'Offensive Data'!$D$2:$X$134)</f>
        <v>16.4</v>
      </c>
      <c r="D207" s="1">
        <v>27.2</v>
      </c>
      <c r="E207" s="1">
        <v>60.3</v>
      </c>
      <c r="F207" s="1">
        <v>211.2</v>
      </c>
      <c r="G207" s="1">
        <v>1.7</v>
      </c>
      <c r="H207" s="1">
        <v>34.8</v>
      </c>
      <c r="I207" s="1">
        <v>153.6</v>
      </c>
      <c r="J207" s="1">
        <v>4.4</v>
      </c>
      <c r="K207" s="1">
        <v>1.7</v>
      </c>
      <c r="L207" s="1">
        <v>61.9</v>
      </c>
      <c r="M207" s="1">
        <v>364.8</v>
      </c>
      <c r="N207" s="1">
        <v>5.9</v>
      </c>
      <c r="O207" s="1">
        <v>9.8</v>
      </c>
      <c r="P207" s="1">
        <v>8.5</v>
      </c>
      <c r="Q207" s="1">
        <v>2.2</v>
      </c>
      <c r="R207" s="1">
        <v>20.4</v>
      </c>
      <c r="S207" s="1">
        <v>5.2</v>
      </c>
      <c r="T207" s="1">
        <v>40.2</v>
      </c>
      <c r="U207" s="1">
        <v>0.6</v>
      </c>
      <c r="V207" s="1">
        <v>0.5</v>
      </c>
      <c r="W207" s="1">
        <v>1.1</v>
      </c>
      <c r="X207" s="1">
        <f t="array" ref="X207:AR207">XLOOKUP(MID(A207, SEARCH("+++", A207) + 3, LEN(A207)),'Defensive Data'!$A$2:$A$134,'Defensive Data'!$D$2:$X$134)</f>
        <v>16.4</v>
      </c>
      <c r="Y207" s="1">
        <v>27.3</v>
      </c>
      <c r="Z207" s="1">
        <v>60.1</v>
      </c>
      <c r="AA207" s="1">
        <v>193.8</v>
      </c>
      <c r="AB207" s="1">
        <v>1.4</v>
      </c>
      <c r="AC207" s="1">
        <v>37.1</v>
      </c>
      <c r="AD207" s="1">
        <v>169.8</v>
      </c>
      <c r="AE207" s="1">
        <v>4.6</v>
      </c>
      <c r="AF207" s="1">
        <v>1.7</v>
      </c>
      <c r="AG207" s="1">
        <v>64.4</v>
      </c>
      <c r="AH207" s="1">
        <v>363.6</v>
      </c>
      <c r="AI207" s="1">
        <v>5.6</v>
      </c>
      <c r="AJ207" s="1">
        <v>8.8</v>
      </c>
      <c r="AK207" s="1">
        <v>8.3</v>
      </c>
      <c r="AL207" s="1">
        <v>2.1</v>
      </c>
      <c r="AM207" s="1">
        <v>19.1</v>
      </c>
      <c r="AN207" s="1">
        <v>6.4</v>
      </c>
      <c r="AO207" s="1">
        <v>58.8</v>
      </c>
      <c r="AP207" s="1">
        <v>0.3</v>
      </c>
      <c r="AQ207" s="1">
        <v>0.2</v>
      </c>
      <c r="AR207" s="1">
        <v>0.4</v>
      </c>
    </row>
    <row r="208" ht="15.75" customHeight="1">
      <c r="A208" s="1" t="str">
        <f>CONCATENATE(Scores!A208,"+++",Scores!C208)</f>
        <v>Indiana+++UCLA</v>
      </c>
      <c r="B208" s="1">
        <f>Scores!B208</f>
        <v>42</v>
      </c>
      <c r="C208" s="1">
        <f t="array" ref="C208:W208">XLOOKUP(LEFT(A208,SEARCH("+",A208)-1),'Offensive Data'!$A$2:$A$134,'Offensive Data'!$D$2:$X$134)</f>
        <v>18.9</v>
      </c>
      <c r="D208" s="1">
        <v>27.8</v>
      </c>
      <c r="E208" s="1">
        <v>68.1</v>
      </c>
      <c r="F208" s="1">
        <v>261.3</v>
      </c>
      <c r="G208" s="1">
        <v>2.5</v>
      </c>
      <c r="H208" s="1">
        <v>37.8</v>
      </c>
      <c r="I208" s="1">
        <v>165.1</v>
      </c>
      <c r="J208" s="1">
        <v>4.4</v>
      </c>
      <c r="K208" s="1">
        <v>2.8</v>
      </c>
      <c r="L208" s="1">
        <v>65.5</v>
      </c>
      <c r="M208" s="1">
        <v>426.4</v>
      </c>
      <c r="N208" s="1">
        <v>6.5</v>
      </c>
      <c r="O208" s="1">
        <v>11.9</v>
      </c>
      <c r="P208" s="1">
        <v>10.0</v>
      </c>
      <c r="Q208" s="1">
        <v>1.6</v>
      </c>
      <c r="R208" s="1">
        <v>23.5</v>
      </c>
      <c r="S208" s="1">
        <v>4.8</v>
      </c>
      <c r="T208" s="1">
        <v>43.9</v>
      </c>
      <c r="U208" s="1">
        <v>0.2</v>
      </c>
      <c r="V208" s="1">
        <v>0.5</v>
      </c>
      <c r="W208" s="1">
        <v>0.7</v>
      </c>
      <c r="X208" s="1">
        <f t="array" ref="X208:AR208">XLOOKUP(MID(A208, SEARCH("+++", A208) + 3, LEN(A208)),'Defensive Data'!$A$2:$A$134,'Defensive Data'!$D$2:$X$134)</f>
        <v>22.4</v>
      </c>
      <c r="Y208" s="1">
        <v>34.3</v>
      </c>
      <c r="Z208" s="1">
        <v>65.5</v>
      </c>
      <c r="AA208" s="1">
        <v>244.7</v>
      </c>
      <c r="AB208" s="1">
        <v>1.6</v>
      </c>
      <c r="AC208" s="1">
        <v>28.8</v>
      </c>
      <c r="AD208" s="1">
        <v>96.2</v>
      </c>
      <c r="AE208" s="1">
        <v>3.3</v>
      </c>
      <c r="AF208" s="1">
        <v>1.4</v>
      </c>
      <c r="AG208" s="1">
        <v>63.0</v>
      </c>
      <c r="AH208" s="1">
        <v>340.8</v>
      </c>
      <c r="AI208" s="1">
        <v>5.4</v>
      </c>
      <c r="AJ208" s="1">
        <v>11.5</v>
      </c>
      <c r="AK208" s="1">
        <v>5.8</v>
      </c>
      <c r="AL208" s="1">
        <v>2.8</v>
      </c>
      <c r="AM208" s="1">
        <v>20.2</v>
      </c>
      <c r="AN208" s="1">
        <v>4.8</v>
      </c>
      <c r="AO208" s="1">
        <v>41.3</v>
      </c>
      <c r="AP208" s="1">
        <v>0.3</v>
      </c>
      <c r="AQ208" s="1">
        <v>0.8</v>
      </c>
      <c r="AR208" s="1">
        <v>1.1</v>
      </c>
    </row>
    <row r="209" ht="15.75" customHeight="1">
      <c r="A209" s="1" t="str">
        <f>CONCATENATE(Scores!A209,"+++",Scores!C209)</f>
        <v>Iowa+++Troy</v>
      </c>
      <c r="B209" s="1">
        <f>Scores!B209</f>
        <v>38</v>
      </c>
      <c r="C209" s="1">
        <f t="array" ref="C209:W209">XLOOKUP(LEFT(A209,SEARCH("+",A209)-1),'Offensive Data'!$A$2:$A$134,'Offensive Data'!$D$2:$X$134)</f>
        <v>12.5</v>
      </c>
      <c r="D209" s="1">
        <v>20.0</v>
      </c>
      <c r="E209" s="1">
        <v>62.7</v>
      </c>
      <c r="F209" s="1">
        <v>131.6</v>
      </c>
      <c r="G209" s="1">
        <v>0.8</v>
      </c>
      <c r="H209" s="1">
        <v>38.5</v>
      </c>
      <c r="I209" s="1">
        <v>197.2</v>
      </c>
      <c r="J209" s="1">
        <v>5.1</v>
      </c>
      <c r="K209" s="1">
        <v>2.3</v>
      </c>
      <c r="L209" s="1">
        <v>58.5</v>
      </c>
      <c r="M209" s="1">
        <v>328.8</v>
      </c>
      <c r="N209" s="1">
        <v>5.6</v>
      </c>
      <c r="O209" s="1">
        <v>6.3</v>
      </c>
      <c r="P209" s="1">
        <v>9.0</v>
      </c>
      <c r="Q209" s="1">
        <v>1.4</v>
      </c>
      <c r="R209" s="1">
        <v>16.7</v>
      </c>
      <c r="S209" s="1">
        <v>3.2</v>
      </c>
      <c r="T209" s="1">
        <v>29.8</v>
      </c>
      <c r="U209" s="1">
        <v>0.3</v>
      </c>
      <c r="V209" s="1">
        <v>0.6</v>
      </c>
      <c r="W209" s="1">
        <v>0.9</v>
      </c>
      <c r="X209" s="1">
        <f t="array" ref="X209:AR209">XLOOKUP(MID(A209, SEARCH("+++", A209) + 3, LEN(A209)),'Defensive Data'!$A$2:$A$134,'Defensive Data'!$D$2:$X$134)</f>
        <v>18.5</v>
      </c>
      <c r="Y209" s="1">
        <v>27.7</v>
      </c>
      <c r="Z209" s="1">
        <v>66.9</v>
      </c>
      <c r="AA209" s="1">
        <v>221.6</v>
      </c>
      <c r="AB209" s="1">
        <v>1.1</v>
      </c>
      <c r="AC209" s="1">
        <v>33.8</v>
      </c>
      <c r="AD209" s="1">
        <v>145.3</v>
      </c>
      <c r="AE209" s="1">
        <v>4.3</v>
      </c>
      <c r="AF209" s="1">
        <v>2.0</v>
      </c>
      <c r="AG209" s="1">
        <v>61.4</v>
      </c>
      <c r="AH209" s="1">
        <v>366.9</v>
      </c>
      <c r="AI209" s="1">
        <v>6.0</v>
      </c>
      <c r="AJ209" s="1">
        <v>8.9</v>
      </c>
      <c r="AK209" s="1">
        <v>7.3</v>
      </c>
      <c r="AL209" s="1">
        <v>2.9</v>
      </c>
      <c r="AM209" s="1">
        <v>19.2</v>
      </c>
      <c r="AN209" s="1">
        <v>5.8</v>
      </c>
      <c r="AO209" s="1">
        <v>51.9</v>
      </c>
      <c r="AP209" s="1">
        <v>0.3</v>
      </c>
      <c r="AQ209" s="1">
        <v>0.5</v>
      </c>
      <c r="AR209" s="1">
        <v>0.8</v>
      </c>
    </row>
    <row r="210" ht="15.75" customHeight="1">
      <c r="A210" s="1" t="str">
        <f>CONCATENATE(Scores!A210,"+++",Scores!C210)</f>
        <v>Liberty+++Texas-El Paso</v>
      </c>
      <c r="B210" s="1">
        <f>Scores!B210</f>
        <v>28</v>
      </c>
      <c r="C210" s="1">
        <f t="array" ref="C210:W210">XLOOKUP(LEFT(A210,SEARCH("+",A210)-1),'Offensive Data'!$A$2:$A$134,'Offensive Data'!$D$2:$X$134)</f>
        <v>13.1</v>
      </c>
      <c r="D210" s="1">
        <v>24.1</v>
      </c>
      <c r="E210" s="1">
        <v>54.3</v>
      </c>
      <c r="F210" s="1">
        <v>167.8</v>
      </c>
      <c r="G210" s="1">
        <v>1.3</v>
      </c>
      <c r="H210" s="1">
        <v>45.2</v>
      </c>
      <c r="I210" s="1">
        <v>250.7</v>
      </c>
      <c r="J210" s="1">
        <v>5.5</v>
      </c>
      <c r="K210" s="1">
        <v>2.3</v>
      </c>
      <c r="L210" s="1">
        <v>69.3</v>
      </c>
      <c r="M210" s="1">
        <v>418.5</v>
      </c>
      <c r="N210" s="1">
        <v>6.0</v>
      </c>
      <c r="O210" s="1">
        <v>7.5</v>
      </c>
      <c r="P210" s="1">
        <v>13.8</v>
      </c>
      <c r="Q210" s="1">
        <v>1.8</v>
      </c>
      <c r="R210" s="1">
        <v>23.1</v>
      </c>
      <c r="S210" s="1">
        <v>6.8</v>
      </c>
      <c r="T210" s="1">
        <v>66.1</v>
      </c>
      <c r="U210" s="1">
        <v>0.9</v>
      </c>
      <c r="V210" s="1">
        <v>0.6</v>
      </c>
      <c r="W210" s="1">
        <v>1.5</v>
      </c>
      <c r="X210" s="1" t="str">
        <f t="array" ref="X210">XLOOKUP(MID(A210, SEARCH("+++", A210) + 3, LEN(A210)),'Defensive Data'!$A$2:$A$134,'Defensive Data'!$D$2:$X$134)</f>
        <v>#N/A</v>
      </c>
    </row>
    <row r="211" ht="15.75" customHeight="1">
      <c r="A211" s="1" t="str">
        <f>CONCATENATE(Scores!A211,"+++",Scores!C211)</f>
        <v>Louisiana State+++South Carolina</v>
      </c>
      <c r="B211" s="1">
        <f>Scores!B211</f>
        <v>36</v>
      </c>
      <c r="C211" s="1" t="str">
        <f t="array" ref="C211">XLOOKUP(LEFT(A211,SEARCH("+",A211)-1),'Offensive Data'!$A$2:$A$134,'Offensive Data'!$D$2:$X$134)</f>
        <v>#N/A</v>
      </c>
      <c r="X211" s="1">
        <f t="array" ref="X211:AR211">XLOOKUP(MID(A211, SEARCH("+++", A211) + 3, LEN(A211)),'Defensive Data'!$A$2:$A$134,'Defensive Data'!$D$2:$X$134)</f>
        <v>17.6</v>
      </c>
      <c r="Y211" s="1">
        <v>30.5</v>
      </c>
      <c r="Z211" s="1">
        <v>57.7</v>
      </c>
      <c r="AA211" s="1">
        <v>204.4</v>
      </c>
      <c r="AB211" s="1">
        <v>0.8</v>
      </c>
      <c r="AC211" s="1">
        <v>34.9</v>
      </c>
      <c r="AD211" s="1">
        <v>112.2</v>
      </c>
      <c r="AE211" s="1">
        <v>3.2</v>
      </c>
      <c r="AF211" s="1">
        <v>1.4</v>
      </c>
      <c r="AG211" s="1">
        <v>65.5</v>
      </c>
      <c r="AH211" s="1">
        <v>316.6</v>
      </c>
      <c r="AI211" s="1">
        <v>4.8</v>
      </c>
      <c r="AJ211" s="1">
        <v>9.1</v>
      </c>
      <c r="AK211" s="1">
        <v>7.3</v>
      </c>
      <c r="AL211" s="1">
        <v>1.7</v>
      </c>
      <c r="AM211" s="1">
        <v>18.1</v>
      </c>
      <c r="AN211" s="1">
        <v>5.9</v>
      </c>
      <c r="AO211" s="1">
        <v>49.6</v>
      </c>
      <c r="AP211" s="1">
        <v>0.8</v>
      </c>
      <c r="AQ211" s="1">
        <v>1.1</v>
      </c>
      <c r="AR211" s="1">
        <v>1.8</v>
      </c>
    </row>
    <row r="212" ht="15.75" customHeight="1">
      <c r="A212" s="1" t="str">
        <f>CONCATENATE(Scores!A212,"+++",Scores!C212)</f>
        <v>Maryland+++Virginia</v>
      </c>
      <c r="B212" s="1">
        <f>Scores!B212</f>
        <v>27</v>
      </c>
      <c r="C212" s="1">
        <f t="array" ref="C212:W212">XLOOKUP(LEFT(A212,SEARCH("+",A212)-1),'Offensive Data'!$A$2:$A$134,'Offensive Data'!$D$2:$X$134)</f>
        <v>26.3</v>
      </c>
      <c r="D212" s="1">
        <v>41.2</v>
      </c>
      <c r="E212" s="1">
        <v>63.8</v>
      </c>
      <c r="F212" s="1">
        <v>275.7</v>
      </c>
      <c r="G212" s="1">
        <v>1.8</v>
      </c>
      <c r="H212" s="1">
        <v>30.8</v>
      </c>
      <c r="I212" s="1">
        <v>110.4</v>
      </c>
      <c r="J212" s="1">
        <v>3.6</v>
      </c>
      <c r="K212" s="1">
        <v>1.3</v>
      </c>
      <c r="L212" s="1">
        <v>72.0</v>
      </c>
      <c r="M212" s="1">
        <v>386.1</v>
      </c>
      <c r="N212" s="1">
        <v>5.4</v>
      </c>
      <c r="O212" s="1">
        <v>13.1</v>
      </c>
      <c r="P212" s="1">
        <v>6.3</v>
      </c>
      <c r="Q212" s="1">
        <v>2.2</v>
      </c>
      <c r="R212" s="1">
        <v>21.5</v>
      </c>
      <c r="S212" s="1">
        <v>6.4</v>
      </c>
      <c r="T212" s="1">
        <v>58.6</v>
      </c>
      <c r="U212" s="1">
        <v>0.5</v>
      </c>
      <c r="V212" s="1">
        <v>1.2</v>
      </c>
      <c r="W212" s="1">
        <v>1.7</v>
      </c>
      <c r="X212" s="1">
        <f t="array" ref="X212:AR212">XLOOKUP(MID(A212, SEARCH("+++", A212) + 3, LEN(A212)),'Defensive Data'!$A$2:$A$134,'Defensive Data'!$D$2:$X$134)</f>
        <v>20.3</v>
      </c>
      <c r="Y212" s="1">
        <v>32.7</v>
      </c>
      <c r="Z212" s="1">
        <v>62.0</v>
      </c>
      <c r="AA212" s="1">
        <v>263.1</v>
      </c>
      <c r="AB212" s="1">
        <v>1.7</v>
      </c>
      <c r="AC212" s="1">
        <v>35.2</v>
      </c>
      <c r="AD212" s="1">
        <v>145.3</v>
      </c>
      <c r="AE212" s="1">
        <v>4.1</v>
      </c>
      <c r="AF212" s="1">
        <v>1.7</v>
      </c>
      <c r="AG212" s="1">
        <v>67.8</v>
      </c>
      <c r="AH212" s="1">
        <v>408.3</v>
      </c>
      <c r="AI212" s="1">
        <v>6.0</v>
      </c>
      <c r="AJ212" s="1">
        <v>10.3</v>
      </c>
      <c r="AK212" s="1">
        <v>8.2</v>
      </c>
      <c r="AL212" s="1">
        <v>1.4</v>
      </c>
      <c r="AM212" s="1">
        <v>19.8</v>
      </c>
      <c r="AN212" s="1">
        <v>7.1</v>
      </c>
      <c r="AO212" s="1">
        <v>60.8</v>
      </c>
      <c r="AP212" s="1">
        <v>0.5</v>
      </c>
      <c r="AQ212" s="1">
        <v>0.8</v>
      </c>
      <c r="AR212" s="1">
        <v>1.3</v>
      </c>
    </row>
    <row r="213" ht="15.75" customHeight="1">
      <c r="A213" s="1" t="str">
        <f>CONCATENATE(Scores!A213,"+++",Scores!C213)</f>
        <v>Memphis+++Florida State</v>
      </c>
      <c r="B213" s="1">
        <f>Scores!B213</f>
        <v>20</v>
      </c>
      <c r="C213" s="1">
        <f t="array" ref="C213:W213">XLOOKUP(LEFT(A213,SEARCH("+",A213)-1),'Offensive Data'!$A$2:$A$134,'Offensive Data'!$D$2:$X$134)</f>
        <v>23.8</v>
      </c>
      <c r="D213" s="1">
        <v>36.8</v>
      </c>
      <c r="E213" s="1">
        <v>64.7</v>
      </c>
      <c r="F213" s="1">
        <v>270.5</v>
      </c>
      <c r="G213" s="1">
        <v>1.9</v>
      </c>
      <c r="H213" s="1">
        <v>34.5</v>
      </c>
      <c r="I213" s="1">
        <v>174.1</v>
      </c>
      <c r="J213" s="1">
        <v>5.1</v>
      </c>
      <c r="K213" s="1">
        <v>2.5</v>
      </c>
      <c r="L213" s="1">
        <v>71.3</v>
      </c>
      <c r="M213" s="1">
        <v>444.5</v>
      </c>
      <c r="N213" s="1">
        <v>6.2</v>
      </c>
      <c r="O213" s="1">
        <v>11.5</v>
      </c>
      <c r="P213" s="1">
        <v>9.4</v>
      </c>
      <c r="Q213" s="1">
        <v>2.2</v>
      </c>
      <c r="R213" s="1">
        <v>23.1</v>
      </c>
      <c r="S213" s="1">
        <v>5.3</v>
      </c>
      <c r="T213" s="1">
        <v>48.0</v>
      </c>
      <c r="U213" s="1">
        <v>0.2</v>
      </c>
      <c r="V213" s="1">
        <v>0.5</v>
      </c>
      <c r="W213" s="1">
        <v>0.6</v>
      </c>
      <c r="X213" s="1">
        <f t="array" ref="X213:AR213">XLOOKUP(MID(A213, SEARCH("+++", A213) + 3, LEN(A213)),'Defensive Data'!$A$2:$A$134,'Defensive Data'!$D$2:$X$134)</f>
        <v>17</v>
      </c>
      <c r="Y213" s="1">
        <v>27.2</v>
      </c>
      <c r="Z213" s="1">
        <v>62.6</v>
      </c>
      <c r="AA213" s="1">
        <v>201.3</v>
      </c>
      <c r="AB213" s="1">
        <v>1.3</v>
      </c>
      <c r="AC213" s="1">
        <v>39.8</v>
      </c>
      <c r="AD213" s="1">
        <v>184.7</v>
      </c>
      <c r="AE213" s="1">
        <v>4.6</v>
      </c>
      <c r="AF213" s="1">
        <v>1.8</v>
      </c>
      <c r="AG213" s="1">
        <v>66.9</v>
      </c>
      <c r="AH213" s="1">
        <v>385.9</v>
      </c>
      <c r="AI213" s="1">
        <v>5.8</v>
      </c>
      <c r="AJ213" s="1">
        <v>9.2</v>
      </c>
      <c r="AK213" s="1">
        <v>9.7</v>
      </c>
      <c r="AL213" s="1">
        <v>2.1</v>
      </c>
      <c r="AM213" s="1">
        <v>20.9</v>
      </c>
      <c r="AN213" s="1">
        <v>4.8</v>
      </c>
      <c r="AO213" s="1">
        <v>43.8</v>
      </c>
      <c r="AP213" s="1">
        <v>0.2</v>
      </c>
      <c r="AQ213" s="1">
        <v>0.3</v>
      </c>
      <c r="AR213" s="1">
        <v>0.5</v>
      </c>
    </row>
    <row r="214" ht="15.75" customHeight="1">
      <c r="A214" s="1" t="str">
        <f>CONCATENATE(Scores!A214,"+++",Scores!C214)</f>
        <v>Miami (FL)+++Ball State</v>
      </c>
      <c r="B214" s="1">
        <f>Scores!B214</f>
        <v>62</v>
      </c>
      <c r="C214" s="1">
        <f t="array" ref="C214:W214">XLOOKUP(LEFT(A214,SEARCH("+",A214)-1),'Offensive Data'!$A$2:$A$134,'Offensive Data'!$D$2:$X$134)</f>
        <v>25.2</v>
      </c>
      <c r="D214" s="1">
        <v>37.6</v>
      </c>
      <c r="E214" s="1">
        <v>67.1</v>
      </c>
      <c r="F214" s="1">
        <v>348.2</v>
      </c>
      <c r="G214" s="1">
        <v>3.2</v>
      </c>
      <c r="H214" s="1">
        <v>33.3</v>
      </c>
      <c r="I214" s="1">
        <v>188.9</v>
      </c>
      <c r="J214" s="1">
        <v>5.7</v>
      </c>
      <c r="K214" s="1">
        <v>2.3</v>
      </c>
      <c r="L214" s="1">
        <v>70.9</v>
      </c>
      <c r="M214" s="1">
        <v>537.2</v>
      </c>
      <c r="N214" s="1">
        <v>7.6</v>
      </c>
      <c r="O214" s="1">
        <v>15.0</v>
      </c>
      <c r="P214" s="1">
        <v>10.3</v>
      </c>
      <c r="Q214" s="1">
        <v>1.7</v>
      </c>
      <c r="R214" s="1">
        <v>27.0</v>
      </c>
      <c r="S214" s="1">
        <v>6.6</v>
      </c>
      <c r="T214" s="1">
        <v>67.5</v>
      </c>
      <c r="U214" s="1">
        <v>0.6</v>
      </c>
      <c r="V214" s="1">
        <v>0.6</v>
      </c>
      <c r="W214" s="1">
        <v>1.2</v>
      </c>
      <c r="X214" s="1">
        <f t="array" ref="X214:AR214">XLOOKUP(MID(A214, SEARCH("+++", A214) + 3, LEN(A214)),'Defensive Data'!$A$2:$A$134,'Defensive Data'!$D$2:$X$134)</f>
        <v>19.4</v>
      </c>
      <c r="Y214" s="1">
        <v>31.3</v>
      </c>
      <c r="Z214" s="1">
        <v>62.0</v>
      </c>
      <c r="AA214" s="1">
        <v>279.6</v>
      </c>
      <c r="AB214" s="1">
        <v>3.1</v>
      </c>
      <c r="AC214" s="1">
        <v>33.7</v>
      </c>
      <c r="AD214" s="1">
        <v>175.3</v>
      </c>
      <c r="AE214" s="1">
        <v>5.2</v>
      </c>
      <c r="AF214" s="1">
        <v>2.0</v>
      </c>
      <c r="AG214" s="1">
        <v>65.0</v>
      </c>
      <c r="AH214" s="1">
        <v>454.9</v>
      </c>
      <c r="AI214" s="1">
        <v>7.0</v>
      </c>
      <c r="AJ214" s="1">
        <v>12.1</v>
      </c>
      <c r="AK214" s="1">
        <v>8.3</v>
      </c>
      <c r="AL214" s="1">
        <v>1.8</v>
      </c>
      <c r="AM214" s="1">
        <v>22.3</v>
      </c>
      <c r="AN214" s="1">
        <v>5.3</v>
      </c>
      <c r="AO214" s="1">
        <v>49.4</v>
      </c>
      <c r="AP214" s="1">
        <v>0.7</v>
      </c>
      <c r="AQ214" s="1">
        <v>0.7</v>
      </c>
      <c r="AR214" s="1">
        <v>1.3</v>
      </c>
    </row>
    <row r="215" ht="15.75" customHeight="1">
      <c r="A215" s="1" t="str">
        <f>CONCATENATE(Scores!A215,"+++",Scores!C215)</f>
        <v>Michigan+++Arkansas State</v>
      </c>
      <c r="B215" s="1">
        <f>Scores!B215</f>
        <v>28</v>
      </c>
      <c r="C215" s="1">
        <f t="array" ref="C215:W215">XLOOKUP(LEFT(A215,SEARCH("+",A215)-1),'Offensive Data'!$A$2:$A$134,'Offensive Data'!$D$2:$X$134)</f>
        <v>14.6</v>
      </c>
      <c r="D215" s="1">
        <v>23.7</v>
      </c>
      <c r="E215" s="1">
        <v>61.7</v>
      </c>
      <c r="F215" s="1">
        <v>129.1</v>
      </c>
      <c r="G215" s="1">
        <v>0.9</v>
      </c>
      <c r="H215" s="1">
        <v>37.4</v>
      </c>
      <c r="I215" s="1">
        <v>157.2</v>
      </c>
      <c r="J215" s="1">
        <v>4.2</v>
      </c>
      <c r="K215" s="1">
        <v>1.4</v>
      </c>
      <c r="L215" s="1">
        <v>61.1</v>
      </c>
      <c r="M215" s="1">
        <v>286.2</v>
      </c>
      <c r="N215" s="1">
        <v>4.7</v>
      </c>
      <c r="O215" s="1">
        <v>6.6</v>
      </c>
      <c r="P215" s="1">
        <v>8.5</v>
      </c>
      <c r="Q215" s="1">
        <v>1.1</v>
      </c>
      <c r="R215" s="1">
        <v>16.2</v>
      </c>
      <c r="S215" s="1">
        <v>4.0</v>
      </c>
      <c r="T215" s="1">
        <v>39.5</v>
      </c>
      <c r="U215" s="1">
        <v>0.5</v>
      </c>
      <c r="V215" s="1">
        <v>1.0</v>
      </c>
      <c r="W215" s="1">
        <v>1.5</v>
      </c>
      <c r="X215" s="1">
        <f t="array" ref="X215:AR215">XLOOKUP(MID(A215, SEARCH("+++", A215) + 3, LEN(A215)),'Defensive Data'!$A$2:$A$134,'Defensive Data'!$D$2:$X$134)</f>
        <v>18.8</v>
      </c>
      <c r="Y215" s="1">
        <v>29.9</v>
      </c>
      <c r="Z215" s="1">
        <v>63.0</v>
      </c>
      <c r="AA215" s="1">
        <v>250.1</v>
      </c>
      <c r="AB215" s="1">
        <v>1.8</v>
      </c>
      <c r="AC215" s="1">
        <v>37.2</v>
      </c>
      <c r="AD215" s="1">
        <v>211.7</v>
      </c>
      <c r="AE215" s="1">
        <v>5.7</v>
      </c>
      <c r="AF215" s="1">
        <v>2.5</v>
      </c>
      <c r="AG215" s="1">
        <v>67.1</v>
      </c>
      <c r="AH215" s="1">
        <v>461.8</v>
      </c>
      <c r="AI215" s="1">
        <v>6.9</v>
      </c>
      <c r="AJ215" s="1">
        <v>10.6</v>
      </c>
      <c r="AK215" s="1">
        <v>10.4</v>
      </c>
      <c r="AL215" s="1">
        <v>1.8</v>
      </c>
      <c r="AM215" s="1">
        <v>22.8</v>
      </c>
      <c r="AN215" s="1">
        <v>7.2</v>
      </c>
      <c r="AO215" s="1">
        <v>58.6</v>
      </c>
      <c r="AP215" s="1">
        <v>0.5</v>
      </c>
      <c r="AQ215" s="1">
        <v>1.1</v>
      </c>
      <c r="AR215" s="1">
        <v>1.5</v>
      </c>
    </row>
    <row r="216" ht="15.75" customHeight="1">
      <c r="A216" s="1" t="str">
        <f>CONCATENATE(Scores!A216,"+++",Scores!C216)</f>
        <v>Michigan State+++Prairie View A&amp;M</v>
      </c>
      <c r="B216" s="1">
        <f>Scores!B216</f>
        <v>40</v>
      </c>
      <c r="C216" s="1">
        <f t="array" ref="C216:W216">XLOOKUP(LEFT(A216,SEARCH("+",A216)-1),'Offensive Data'!$A$2:$A$134,'Offensive Data'!$D$2:$X$134)</f>
        <v>17.7</v>
      </c>
      <c r="D216" s="1">
        <v>29.4</v>
      </c>
      <c r="E216" s="1">
        <v>60.1</v>
      </c>
      <c r="F216" s="1">
        <v>218.1</v>
      </c>
      <c r="G216" s="1">
        <v>1.1</v>
      </c>
      <c r="H216" s="1">
        <v>32.8</v>
      </c>
      <c r="I216" s="1">
        <v>116.3</v>
      </c>
      <c r="J216" s="1">
        <v>3.6</v>
      </c>
      <c r="K216" s="1">
        <v>0.9</v>
      </c>
      <c r="L216" s="1">
        <v>62.2</v>
      </c>
      <c r="M216" s="1">
        <v>334.4</v>
      </c>
      <c r="N216" s="1">
        <v>5.4</v>
      </c>
      <c r="O216" s="1">
        <v>9.2</v>
      </c>
      <c r="P216" s="1">
        <v>8.3</v>
      </c>
      <c r="Q216" s="1">
        <v>1.4</v>
      </c>
      <c r="R216" s="1">
        <v>18.8</v>
      </c>
      <c r="S216" s="1">
        <v>6.7</v>
      </c>
      <c r="T216" s="1">
        <v>63.3</v>
      </c>
      <c r="U216" s="1">
        <v>0.6</v>
      </c>
      <c r="V216" s="1">
        <v>1.0</v>
      </c>
      <c r="W216" s="1">
        <v>1.6</v>
      </c>
      <c r="X216" s="1" t="str">
        <f t="array" ref="X216">XLOOKUP(MID(A216, SEARCH("+++", A216) + 3, LEN(A216)),'Defensive Data'!$A$2:$A$134,'Defensive Data'!$D$2:$X$134)</f>
        <v>#N/A</v>
      </c>
    </row>
    <row r="217" ht="15.75" customHeight="1">
      <c r="A217" s="1" t="str">
        <f>CONCATENATE(Scores!A217,"+++",Scores!C217)</f>
        <v>Minnesota+++Nevada</v>
      </c>
      <c r="B217" s="1">
        <f>Scores!B217</f>
        <v>27</v>
      </c>
      <c r="C217" s="1">
        <f t="array" ref="C217:W217">XLOOKUP(LEFT(A217,SEARCH("+",A217)-1),'Offensive Data'!$A$2:$A$134,'Offensive Data'!$D$2:$X$134)</f>
        <v>21</v>
      </c>
      <c r="D217" s="1">
        <v>31.7</v>
      </c>
      <c r="E217" s="1">
        <v>66.3</v>
      </c>
      <c r="F217" s="1">
        <v>222.2</v>
      </c>
      <c r="G217" s="1">
        <v>1.5</v>
      </c>
      <c r="H217" s="1">
        <v>31.1</v>
      </c>
      <c r="I217" s="1">
        <v>115.6</v>
      </c>
      <c r="J217" s="1">
        <v>3.7</v>
      </c>
      <c r="K217" s="1">
        <v>1.4</v>
      </c>
      <c r="L217" s="1">
        <v>62.8</v>
      </c>
      <c r="M217" s="1">
        <v>337.8</v>
      </c>
      <c r="N217" s="1">
        <v>5.4</v>
      </c>
      <c r="O217" s="1">
        <v>11.0</v>
      </c>
      <c r="P217" s="1">
        <v>7.2</v>
      </c>
      <c r="Q217" s="1">
        <v>2.2</v>
      </c>
      <c r="R217" s="1">
        <v>20.4</v>
      </c>
      <c r="S217" s="1">
        <v>4.8</v>
      </c>
      <c r="T217" s="1">
        <v>37.5</v>
      </c>
      <c r="U217" s="1">
        <v>0.5</v>
      </c>
      <c r="V217" s="1">
        <v>0.5</v>
      </c>
      <c r="W217" s="1">
        <v>0.9</v>
      </c>
      <c r="X217" s="1">
        <f t="array" ref="X217:AR217">XLOOKUP(MID(A217, SEARCH("+++", A217) + 3, LEN(A217)),'Defensive Data'!$A$2:$A$134,'Defensive Data'!$D$2:$X$134)</f>
        <v>16.2</v>
      </c>
      <c r="Y217" s="1">
        <v>26.7</v>
      </c>
      <c r="Z217" s="1">
        <v>60.5</v>
      </c>
      <c r="AA217" s="1">
        <v>198.6</v>
      </c>
      <c r="AB217" s="1">
        <v>1.0</v>
      </c>
      <c r="AC217" s="1">
        <v>38.2</v>
      </c>
      <c r="AD217" s="1">
        <v>192.8</v>
      </c>
      <c r="AE217" s="1">
        <v>5.1</v>
      </c>
      <c r="AF217" s="1">
        <v>2.4</v>
      </c>
      <c r="AG217" s="1">
        <v>64.8</v>
      </c>
      <c r="AH217" s="1">
        <v>391.5</v>
      </c>
      <c r="AI217" s="1">
        <v>6.0</v>
      </c>
      <c r="AJ217" s="1">
        <v>9.7</v>
      </c>
      <c r="AK217" s="1">
        <v>10.4</v>
      </c>
      <c r="AL217" s="1">
        <v>2.8</v>
      </c>
      <c r="AM217" s="1">
        <v>22.8</v>
      </c>
      <c r="AN217" s="1">
        <v>5.4</v>
      </c>
      <c r="AO217" s="1">
        <v>49.2</v>
      </c>
      <c r="AP217" s="1">
        <v>0.2</v>
      </c>
      <c r="AQ217" s="1">
        <v>0.8</v>
      </c>
      <c r="AR217" s="1">
        <v>1.0</v>
      </c>
    </row>
    <row r="218" ht="15.75" customHeight="1">
      <c r="A218" s="1" t="str">
        <f>CONCATENATE(Scores!A218,"+++",Scores!C218)</f>
        <v>Mississippi+++Wake Forest</v>
      </c>
      <c r="B218" s="1">
        <f>Scores!B218</f>
        <v>40</v>
      </c>
      <c r="C218" s="1" t="str">
        <f t="array" ref="C218">XLOOKUP(LEFT(A218,SEARCH("+",A218)-1),'Offensive Data'!$A$2:$A$134,'Offensive Data'!$D$2:$X$134)</f>
        <v>#N/A</v>
      </c>
      <c r="X218" s="1">
        <f t="array" ref="X218:AR218">XLOOKUP(MID(A218, SEARCH("+++", A218) + 3, LEN(A218)),'Defensive Data'!$A$2:$A$134,'Defensive Data'!$D$2:$X$134)</f>
        <v>26.7</v>
      </c>
      <c r="Y218" s="1">
        <v>37.9</v>
      </c>
      <c r="Z218" s="1">
        <v>70.3</v>
      </c>
      <c r="AA218" s="1">
        <v>277.8</v>
      </c>
      <c r="AB218" s="1">
        <v>1.9</v>
      </c>
      <c r="AC218" s="1">
        <v>34.5</v>
      </c>
      <c r="AD218" s="1">
        <v>157.2</v>
      </c>
      <c r="AE218" s="1">
        <v>4.6</v>
      </c>
      <c r="AF218" s="1">
        <v>1.7</v>
      </c>
      <c r="AG218" s="1">
        <v>72.4</v>
      </c>
      <c r="AH218" s="1">
        <v>435.0</v>
      </c>
      <c r="AI218" s="1">
        <v>6.0</v>
      </c>
      <c r="AJ218" s="1">
        <v>14.2</v>
      </c>
      <c r="AK218" s="1">
        <v>10.1</v>
      </c>
      <c r="AL218" s="1">
        <v>1.2</v>
      </c>
      <c r="AM218" s="1">
        <v>25.4</v>
      </c>
      <c r="AN218" s="1">
        <v>6.2</v>
      </c>
      <c r="AO218" s="1">
        <v>58.5</v>
      </c>
      <c r="AP218" s="1">
        <v>0.5</v>
      </c>
      <c r="AQ218" s="1">
        <v>0.9</v>
      </c>
      <c r="AR218" s="1">
        <v>1.4</v>
      </c>
    </row>
    <row r="219" ht="15.75" customHeight="1">
      <c r="A219" s="1" t="str">
        <f>CONCATENATE(Scores!A219,"+++",Scores!C219)</f>
        <v>Missouri+++Boston College</v>
      </c>
      <c r="B219" s="1">
        <f>Scores!B219</f>
        <v>27</v>
      </c>
      <c r="C219" s="1">
        <f t="array" ref="C219:W219">XLOOKUP(LEFT(A219,SEARCH("+",A219)-1),'Offensive Data'!$A$2:$A$134,'Offensive Data'!$D$2:$X$134)</f>
        <v>19.2</v>
      </c>
      <c r="D219" s="1">
        <v>31.1</v>
      </c>
      <c r="E219" s="1">
        <v>61.9</v>
      </c>
      <c r="F219" s="1">
        <v>225.1</v>
      </c>
      <c r="G219" s="1">
        <v>1.1</v>
      </c>
      <c r="H219" s="1">
        <v>39.8</v>
      </c>
      <c r="I219" s="1">
        <v>164.5</v>
      </c>
      <c r="J219" s="1">
        <v>4.1</v>
      </c>
      <c r="K219" s="1">
        <v>2.0</v>
      </c>
      <c r="L219" s="1">
        <v>70.9</v>
      </c>
      <c r="M219" s="1">
        <v>389.5</v>
      </c>
      <c r="N219" s="1">
        <v>5.5</v>
      </c>
      <c r="O219" s="1">
        <v>9.2</v>
      </c>
      <c r="P219" s="1">
        <v>10.5</v>
      </c>
      <c r="Q219" s="1">
        <v>1.5</v>
      </c>
      <c r="R219" s="1">
        <v>21.2</v>
      </c>
      <c r="S219" s="1">
        <v>5.6</v>
      </c>
      <c r="T219" s="1">
        <v>50.6</v>
      </c>
      <c r="U219" s="1">
        <v>0.3</v>
      </c>
      <c r="V219" s="1">
        <v>0.4</v>
      </c>
      <c r="W219" s="1">
        <v>0.7</v>
      </c>
      <c r="X219" s="1">
        <f t="array" ref="X219:AR219">XLOOKUP(MID(A219, SEARCH("+++", A219) + 3, LEN(A219)),'Defensive Data'!$A$2:$A$134,'Defensive Data'!$D$2:$X$134)</f>
        <v>20.8</v>
      </c>
      <c r="Y219" s="1">
        <v>33.9</v>
      </c>
      <c r="Z219" s="1">
        <v>61.5</v>
      </c>
      <c r="AA219" s="1">
        <v>245.8</v>
      </c>
      <c r="AB219" s="1">
        <v>1.3</v>
      </c>
      <c r="AC219" s="1">
        <v>31.8</v>
      </c>
      <c r="AD219" s="1">
        <v>114.9</v>
      </c>
      <c r="AE219" s="1">
        <v>3.6</v>
      </c>
      <c r="AF219" s="1">
        <v>1.2</v>
      </c>
      <c r="AG219" s="1">
        <v>65.7</v>
      </c>
      <c r="AH219" s="1">
        <v>360.7</v>
      </c>
      <c r="AI219" s="1">
        <v>5.5</v>
      </c>
      <c r="AJ219" s="1">
        <v>11.8</v>
      </c>
      <c r="AK219" s="1">
        <v>6.6</v>
      </c>
      <c r="AL219" s="1">
        <v>1.5</v>
      </c>
      <c r="AM219" s="1">
        <v>19.9</v>
      </c>
      <c r="AN219" s="1">
        <v>6.4</v>
      </c>
      <c r="AO219" s="1">
        <v>55.8</v>
      </c>
      <c r="AP219" s="1">
        <v>0.6</v>
      </c>
      <c r="AQ219" s="1">
        <v>1.3</v>
      </c>
      <c r="AR219" s="1">
        <v>1.9</v>
      </c>
    </row>
    <row r="220" ht="15.75" customHeight="1">
      <c r="A220" s="1" t="str">
        <f>CONCATENATE(Scores!A220,"+++",Scores!C220)</f>
        <v>Nebraska+++Northern Iowa</v>
      </c>
      <c r="B220" s="1">
        <f>Scores!B220</f>
        <v>34</v>
      </c>
      <c r="C220" s="1">
        <f t="array" ref="C220:W220">XLOOKUP(LEFT(A220,SEARCH("+",A220)-1),'Offensive Data'!$A$2:$A$134,'Offensive Data'!$D$2:$X$134)</f>
        <v>22.2</v>
      </c>
      <c r="D220" s="1">
        <v>33.5</v>
      </c>
      <c r="E220" s="1">
        <v>66.2</v>
      </c>
      <c r="F220" s="1">
        <v>228.4</v>
      </c>
      <c r="G220" s="1">
        <v>1.0</v>
      </c>
      <c r="H220" s="1">
        <v>34.5</v>
      </c>
      <c r="I220" s="1">
        <v>130.6</v>
      </c>
      <c r="J220" s="1">
        <v>3.8</v>
      </c>
      <c r="K220" s="1">
        <v>1.7</v>
      </c>
      <c r="L220" s="1">
        <v>67.9</v>
      </c>
      <c r="M220" s="1">
        <v>359.0</v>
      </c>
      <c r="N220" s="1">
        <v>5.3</v>
      </c>
      <c r="O220" s="1">
        <v>10.5</v>
      </c>
      <c r="P220" s="1">
        <v>8.4</v>
      </c>
      <c r="Q220" s="1">
        <v>2.8</v>
      </c>
      <c r="R220" s="1">
        <v>21.8</v>
      </c>
      <c r="S220" s="1">
        <v>6.2</v>
      </c>
      <c r="T220" s="1">
        <v>53.2</v>
      </c>
      <c r="U220" s="1">
        <v>0.5</v>
      </c>
      <c r="V220" s="1">
        <v>0.9</v>
      </c>
      <c r="W220" s="1">
        <v>1.5</v>
      </c>
      <c r="X220" s="1" t="str">
        <f t="array" ref="X220">XLOOKUP(MID(A220, SEARCH("+++", A220) + 3, LEN(A220)),'Defensive Data'!$A$2:$A$134,'Defensive Data'!$D$2:$X$134)</f>
        <v>#N/A</v>
      </c>
    </row>
    <row r="221" ht="15.75" customHeight="1">
      <c r="A221" s="1" t="str">
        <f>CONCATENATE(Scores!A221,"+++",Scores!C221)</f>
        <v>North Carolina+++North Carolina Central</v>
      </c>
      <c r="B221" s="1">
        <f>Scores!B221</f>
        <v>45</v>
      </c>
      <c r="C221" s="1">
        <f t="array" ref="C221:W221">XLOOKUP(LEFT(A221,SEARCH("+",A221)-1),'Offensive Data'!$A$2:$A$134,'Offensive Data'!$D$2:$X$134)</f>
        <v>17.7</v>
      </c>
      <c r="D221" s="1">
        <v>30.2</v>
      </c>
      <c r="E221" s="1">
        <v>58.7</v>
      </c>
      <c r="F221" s="1">
        <v>224.4</v>
      </c>
      <c r="G221" s="1">
        <v>1.4</v>
      </c>
      <c r="H221" s="1">
        <v>38.2</v>
      </c>
      <c r="I221" s="1">
        <v>182.3</v>
      </c>
      <c r="J221" s="1">
        <v>4.8</v>
      </c>
      <c r="K221" s="1">
        <v>2.0</v>
      </c>
      <c r="L221" s="1">
        <v>68.3</v>
      </c>
      <c r="M221" s="1">
        <v>406.7</v>
      </c>
      <c r="N221" s="1">
        <v>6.0</v>
      </c>
      <c r="O221" s="1">
        <v>9.4</v>
      </c>
      <c r="P221" s="1">
        <v>9.6</v>
      </c>
      <c r="Q221" s="1">
        <v>2.0</v>
      </c>
      <c r="R221" s="1">
        <v>21.0</v>
      </c>
      <c r="S221" s="1">
        <v>7.5</v>
      </c>
      <c r="T221" s="1">
        <v>64.0</v>
      </c>
      <c r="U221" s="1">
        <v>0.6</v>
      </c>
      <c r="V221" s="1">
        <v>0.7</v>
      </c>
      <c r="W221" s="1">
        <v>1.3</v>
      </c>
      <c r="X221" s="1" t="str">
        <f t="array" ref="X221">XLOOKUP(MID(A221, SEARCH("+++", A221) + 3, LEN(A221)),'Defensive Data'!$A$2:$A$134,'Defensive Data'!$D$2:$X$134)</f>
        <v>#N/A</v>
      </c>
    </row>
    <row r="222" ht="15.75" customHeight="1">
      <c r="A222" s="1" t="str">
        <f>CONCATENATE(Scores!A222,"+++",Scores!C222)</f>
        <v>North Carolina State+++Louisiana Tech</v>
      </c>
      <c r="B222" s="1">
        <f>Scores!B222</f>
        <v>30</v>
      </c>
      <c r="C222" s="1">
        <f t="array" ref="C222:W222">XLOOKUP(LEFT(A222,SEARCH("+",A222)-1),'Offensive Data'!$A$2:$A$134,'Offensive Data'!$D$2:$X$134)</f>
        <v>19.6</v>
      </c>
      <c r="D222" s="1">
        <v>30.1</v>
      </c>
      <c r="E222" s="1">
        <v>65.2</v>
      </c>
      <c r="F222" s="1">
        <v>232.6</v>
      </c>
      <c r="G222" s="1">
        <v>1.6</v>
      </c>
      <c r="H222" s="1">
        <v>32.4</v>
      </c>
      <c r="I222" s="1">
        <v>145.2</v>
      </c>
      <c r="J222" s="1">
        <v>4.5</v>
      </c>
      <c r="K222" s="1">
        <v>1.6</v>
      </c>
      <c r="L222" s="1">
        <v>62.5</v>
      </c>
      <c r="M222" s="1">
        <v>377.8</v>
      </c>
      <c r="N222" s="1">
        <v>6.0</v>
      </c>
      <c r="O222" s="1">
        <v>10.5</v>
      </c>
      <c r="P222" s="1">
        <v>7.3</v>
      </c>
      <c r="Q222" s="1">
        <v>2.3</v>
      </c>
      <c r="R222" s="1">
        <v>20.2</v>
      </c>
      <c r="S222" s="1">
        <v>5.1</v>
      </c>
      <c r="T222" s="1">
        <v>47.8</v>
      </c>
      <c r="U222" s="1">
        <v>0.8</v>
      </c>
      <c r="V222" s="1">
        <v>1.0</v>
      </c>
      <c r="W222" s="1">
        <v>1.8</v>
      </c>
      <c r="X222" s="1">
        <f t="array" ref="X222:AR222">XLOOKUP(MID(A222, SEARCH("+++", A222) + 3, LEN(A222)),'Defensive Data'!$A$2:$A$134,'Defensive Data'!$D$2:$X$134)</f>
        <v>15.7</v>
      </c>
      <c r="Y222" s="1">
        <v>28.2</v>
      </c>
      <c r="Z222" s="1">
        <v>55.7</v>
      </c>
      <c r="AA222" s="1">
        <v>172.8</v>
      </c>
      <c r="AB222" s="1">
        <v>0.8</v>
      </c>
      <c r="AC222" s="1">
        <v>37.8</v>
      </c>
      <c r="AD222" s="1">
        <v>135.5</v>
      </c>
      <c r="AE222" s="1">
        <v>3.6</v>
      </c>
      <c r="AF222" s="1">
        <v>1.6</v>
      </c>
      <c r="AG222" s="1">
        <v>65.9</v>
      </c>
      <c r="AH222" s="1">
        <v>308.4</v>
      </c>
      <c r="AI222" s="1">
        <v>4.7</v>
      </c>
      <c r="AJ222" s="1">
        <v>7.6</v>
      </c>
      <c r="AK222" s="1">
        <v>8.2</v>
      </c>
      <c r="AL222" s="1">
        <v>1.9</v>
      </c>
      <c r="AM222" s="1">
        <v>17.8</v>
      </c>
      <c r="AN222" s="1">
        <v>4.8</v>
      </c>
      <c r="AO222" s="1">
        <v>41.8</v>
      </c>
      <c r="AP222" s="1">
        <v>0.9</v>
      </c>
      <c r="AQ222" s="1">
        <v>0.4</v>
      </c>
      <c r="AR222" s="1">
        <v>1.3</v>
      </c>
    </row>
    <row r="223" ht="15.75" customHeight="1">
      <c r="A223" s="1" t="str">
        <f>CONCATENATE(Scores!A223,"+++",Scores!C223)</f>
        <v>Northwestern+++Eastern Illinois</v>
      </c>
      <c r="B223" s="1">
        <f>Scores!B223</f>
        <v>31</v>
      </c>
      <c r="C223" s="1">
        <f t="array" ref="C223:W223">XLOOKUP(LEFT(A223,SEARCH("+",A223)-1),'Offensive Data'!$A$2:$A$134,'Offensive Data'!$D$2:$X$134)</f>
        <v>17.5</v>
      </c>
      <c r="D223" s="1">
        <v>32.6</v>
      </c>
      <c r="E223" s="1">
        <v>53.7</v>
      </c>
      <c r="F223" s="1">
        <v>185.9</v>
      </c>
      <c r="G223" s="1">
        <v>0.6</v>
      </c>
      <c r="H223" s="1">
        <v>29.6</v>
      </c>
      <c r="I223" s="1">
        <v>98.5</v>
      </c>
      <c r="J223" s="1">
        <v>3.3</v>
      </c>
      <c r="K223" s="1">
        <v>1.0</v>
      </c>
      <c r="L223" s="1">
        <v>62.2</v>
      </c>
      <c r="M223" s="1">
        <v>284.4</v>
      </c>
      <c r="N223" s="1">
        <v>4.6</v>
      </c>
      <c r="O223" s="1">
        <v>8.3</v>
      </c>
      <c r="P223" s="1">
        <v>6.3</v>
      </c>
      <c r="Q223" s="1">
        <v>1.3</v>
      </c>
      <c r="R223" s="1">
        <v>16.0</v>
      </c>
      <c r="S223" s="1">
        <v>4.8</v>
      </c>
      <c r="T223" s="1">
        <v>38.3</v>
      </c>
      <c r="U223" s="1">
        <v>0.6</v>
      </c>
      <c r="V223" s="1">
        <v>0.9</v>
      </c>
      <c r="W223" s="1">
        <v>1.5</v>
      </c>
      <c r="X223" s="1" t="str">
        <f t="array" ref="X223">XLOOKUP(MID(A223, SEARCH("+++", A223) + 3, LEN(A223)),'Defensive Data'!$A$2:$A$134,'Defensive Data'!$D$2:$X$134)</f>
        <v>#N/A</v>
      </c>
    </row>
    <row r="224" ht="15.75" customHeight="1">
      <c r="A224" s="1" t="str">
        <f>CONCATENATE(Scores!A224,"+++",Scores!C224)</f>
        <v>Notre Dame+++Purdue</v>
      </c>
      <c r="B224" s="1">
        <f>Scores!B224</f>
        <v>66</v>
      </c>
      <c r="C224" s="1">
        <f t="array" ref="C224:W224">XLOOKUP(LEFT(A224,SEARCH("+",A224)-1),'Offensive Data'!$A$2:$A$134,'Offensive Data'!$D$2:$X$134)</f>
        <v>18.5</v>
      </c>
      <c r="D224" s="1">
        <v>27.8</v>
      </c>
      <c r="E224" s="1">
        <v>66.5</v>
      </c>
      <c r="F224" s="1">
        <v>198.1</v>
      </c>
      <c r="G224" s="1">
        <v>1.5</v>
      </c>
      <c r="H224" s="1">
        <v>35.5</v>
      </c>
      <c r="I224" s="1">
        <v>200.9</v>
      </c>
      <c r="J224" s="1">
        <v>5.7</v>
      </c>
      <c r="K224" s="1">
        <v>2.8</v>
      </c>
      <c r="L224" s="1">
        <v>63.3</v>
      </c>
      <c r="M224" s="1">
        <v>399.1</v>
      </c>
      <c r="N224" s="1">
        <v>6.3</v>
      </c>
      <c r="O224" s="1">
        <v>9.4</v>
      </c>
      <c r="P224" s="1">
        <v>9.2</v>
      </c>
      <c r="Q224" s="1">
        <v>1.8</v>
      </c>
      <c r="R224" s="1">
        <v>20.4</v>
      </c>
      <c r="S224" s="1">
        <v>5.8</v>
      </c>
      <c r="T224" s="1">
        <v>50.9</v>
      </c>
      <c r="U224" s="1">
        <v>0.4</v>
      </c>
      <c r="V224" s="1">
        <v>0.5</v>
      </c>
      <c r="W224" s="1">
        <v>0.9</v>
      </c>
      <c r="X224" s="1">
        <f t="array" ref="X224:AR224">XLOOKUP(MID(A224, SEARCH("+++", A224) + 3, LEN(A224)),'Defensive Data'!$A$2:$A$134,'Defensive Data'!$D$2:$X$134)</f>
        <v>18.2</v>
      </c>
      <c r="Y224" s="1">
        <v>27.6</v>
      </c>
      <c r="Z224" s="1">
        <v>65.9</v>
      </c>
      <c r="AA224" s="1">
        <v>252.7</v>
      </c>
      <c r="AB224" s="1">
        <v>2.3</v>
      </c>
      <c r="AC224" s="1">
        <v>39.3</v>
      </c>
      <c r="AD224" s="1">
        <v>200.0</v>
      </c>
      <c r="AE224" s="1">
        <v>5.1</v>
      </c>
      <c r="AF224" s="1">
        <v>2.8</v>
      </c>
      <c r="AG224" s="1">
        <v>66.9</v>
      </c>
      <c r="AH224" s="1">
        <v>452.7</v>
      </c>
      <c r="AI224" s="1">
        <v>6.8</v>
      </c>
      <c r="AJ224" s="1">
        <v>11.3</v>
      </c>
      <c r="AK224" s="1">
        <v>11.0</v>
      </c>
      <c r="AL224" s="1">
        <v>1.7</v>
      </c>
      <c r="AM224" s="1">
        <v>24.0</v>
      </c>
      <c r="AN224" s="1">
        <v>5.2</v>
      </c>
      <c r="AO224" s="1">
        <v>47.7</v>
      </c>
      <c r="AP224" s="1">
        <v>0.1</v>
      </c>
      <c r="AQ224" s="1">
        <v>0.3</v>
      </c>
      <c r="AR224" s="1">
        <v>0.4</v>
      </c>
    </row>
    <row r="225" ht="15.75" customHeight="1">
      <c r="A225" s="1" t="str">
        <f>CONCATENATE(Scores!A225,"+++",Scores!C225)</f>
        <v>Ohio+++Morgan State</v>
      </c>
      <c r="B225" s="1">
        <f>Scores!B225</f>
        <v>21</v>
      </c>
      <c r="C225" s="1">
        <f t="array" ref="C225:W225">XLOOKUP(LEFT(A225,SEARCH("+",A225)-1),'Offensive Data'!$A$2:$A$134,'Offensive Data'!$D$2:$X$134)</f>
        <v>15.5</v>
      </c>
      <c r="D225" s="1">
        <v>24.6</v>
      </c>
      <c r="E225" s="1">
        <v>62.9</v>
      </c>
      <c r="F225" s="1">
        <v>192.4</v>
      </c>
      <c r="G225" s="1">
        <v>1.1</v>
      </c>
      <c r="H225" s="1">
        <v>41.0</v>
      </c>
      <c r="I225" s="1">
        <v>213.1</v>
      </c>
      <c r="J225" s="1">
        <v>5.2</v>
      </c>
      <c r="K225" s="1">
        <v>2.5</v>
      </c>
      <c r="L225" s="1">
        <v>65.6</v>
      </c>
      <c r="M225" s="1">
        <v>405.6</v>
      </c>
      <c r="N225" s="1">
        <v>6.2</v>
      </c>
      <c r="O225" s="1">
        <v>8.7</v>
      </c>
      <c r="P225" s="1">
        <v>11.1</v>
      </c>
      <c r="Q225" s="1">
        <v>2.1</v>
      </c>
      <c r="R225" s="1">
        <v>22.0</v>
      </c>
      <c r="S225" s="1">
        <v>5.6</v>
      </c>
      <c r="T225" s="1">
        <v>45.5</v>
      </c>
      <c r="U225" s="1">
        <v>0.7</v>
      </c>
      <c r="V225" s="1">
        <v>0.9</v>
      </c>
      <c r="W225" s="1">
        <v>1.6</v>
      </c>
      <c r="X225" s="1" t="str">
        <f t="array" ref="X225">XLOOKUP(MID(A225, SEARCH("+++", A225) + 3, LEN(A225)),'Defensive Data'!$A$2:$A$134,'Defensive Data'!$D$2:$X$134)</f>
        <v>#N/A</v>
      </c>
    </row>
    <row r="226" ht="15.75" customHeight="1">
      <c r="A226" s="1" t="str">
        <f>CONCATENATE(Scores!A226,"+++",Scores!C226)</f>
        <v>Oklahoma+++Tulane</v>
      </c>
      <c r="B226" s="1">
        <f>Scores!B226</f>
        <v>34</v>
      </c>
      <c r="C226" s="1">
        <f t="array" ref="C226:W226">XLOOKUP(LEFT(A226,SEARCH("+",A226)-1),'Offensive Data'!$A$2:$A$134,'Offensive Data'!$D$2:$X$134)</f>
        <v>18.1</v>
      </c>
      <c r="D226" s="1">
        <v>28.7</v>
      </c>
      <c r="E226" s="1">
        <v>63.0</v>
      </c>
      <c r="F226" s="1">
        <v>175.8</v>
      </c>
      <c r="G226" s="1">
        <v>1.2</v>
      </c>
      <c r="H226" s="1">
        <v>40.1</v>
      </c>
      <c r="I226" s="1">
        <v>155.2</v>
      </c>
      <c r="J226" s="1">
        <v>3.9</v>
      </c>
      <c r="K226" s="1">
        <v>1.3</v>
      </c>
      <c r="L226" s="1">
        <v>68.8</v>
      </c>
      <c r="M226" s="1">
        <v>331.0</v>
      </c>
      <c r="N226" s="1">
        <v>4.8</v>
      </c>
      <c r="O226" s="1">
        <v>7.7</v>
      </c>
      <c r="P226" s="1">
        <v>9.2</v>
      </c>
      <c r="Q226" s="1">
        <v>2.1</v>
      </c>
      <c r="R226" s="1">
        <v>19.0</v>
      </c>
      <c r="S226" s="1">
        <v>5.3</v>
      </c>
      <c r="T226" s="1">
        <v>45.5</v>
      </c>
      <c r="U226" s="1">
        <v>1.2</v>
      </c>
      <c r="V226" s="1">
        <v>0.5</v>
      </c>
      <c r="W226" s="1">
        <v>1.6</v>
      </c>
      <c r="X226" s="1">
        <f t="array" ref="X226:AR226">XLOOKUP(MID(A226, SEARCH("+++", A226) + 3, LEN(A226)),'Defensive Data'!$A$2:$A$134,'Defensive Data'!$D$2:$X$134)</f>
        <v>16.8</v>
      </c>
      <c r="Y226" s="1">
        <v>28.9</v>
      </c>
      <c r="Z226" s="1">
        <v>58.2</v>
      </c>
      <c r="AA226" s="1">
        <v>177.7</v>
      </c>
      <c r="AB226" s="1">
        <v>0.9</v>
      </c>
      <c r="AC226" s="1">
        <v>32.6</v>
      </c>
      <c r="AD226" s="1">
        <v>145.8</v>
      </c>
      <c r="AE226" s="1">
        <v>4.5</v>
      </c>
      <c r="AF226" s="1">
        <v>1.4</v>
      </c>
      <c r="AG226" s="1">
        <v>61.4</v>
      </c>
      <c r="AH226" s="1">
        <v>323.5</v>
      </c>
      <c r="AI226" s="1">
        <v>5.3</v>
      </c>
      <c r="AJ226" s="1">
        <v>8.2</v>
      </c>
      <c r="AK226" s="1">
        <v>7.3</v>
      </c>
      <c r="AL226" s="1">
        <v>1.9</v>
      </c>
      <c r="AM226" s="1">
        <v>17.4</v>
      </c>
      <c r="AN226" s="1">
        <v>5.7</v>
      </c>
      <c r="AO226" s="1">
        <v>46.6</v>
      </c>
      <c r="AP226" s="1">
        <v>0.6</v>
      </c>
      <c r="AQ226" s="1">
        <v>1.0</v>
      </c>
      <c r="AR226" s="1">
        <v>1.6</v>
      </c>
    </row>
    <row r="227" ht="15.75" customHeight="1">
      <c r="A227" s="1" t="str">
        <f>CONCATENATE(Scores!A227,"+++",Scores!C227)</f>
        <v>Oklahoma State+++Tulsa</v>
      </c>
      <c r="B227" s="1">
        <f>Scores!B227</f>
        <v>45</v>
      </c>
      <c r="C227" s="1">
        <f t="array" ref="C227:W227">XLOOKUP(LEFT(A227,SEARCH("+",A227)-1),'Offensive Data'!$A$2:$A$134,'Offensive Data'!$D$2:$X$134)</f>
        <v>22.3</v>
      </c>
      <c r="D227" s="1">
        <v>37.4</v>
      </c>
      <c r="E227" s="1">
        <v>59.5</v>
      </c>
      <c r="F227" s="1">
        <v>262.3</v>
      </c>
      <c r="G227" s="1">
        <v>1.8</v>
      </c>
      <c r="H227" s="1">
        <v>29.8</v>
      </c>
      <c r="I227" s="1">
        <v>111.8</v>
      </c>
      <c r="J227" s="1">
        <v>3.7</v>
      </c>
      <c r="K227" s="1">
        <v>1.6</v>
      </c>
      <c r="L227" s="1">
        <v>67.3</v>
      </c>
      <c r="M227" s="1">
        <v>374.0</v>
      </c>
      <c r="N227" s="1">
        <v>5.6</v>
      </c>
      <c r="O227" s="1">
        <v>12.1</v>
      </c>
      <c r="P227" s="1">
        <v>6.8</v>
      </c>
      <c r="Q227" s="1">
        <v>1.6</v>
      </c>
      <c r="R227" s="1">
        <v>20.4</v>
      </c>
      <c r="S227" s="1">
        <v>5.0</v>
      </c>
      <c r="T227" s="1">
        <v>43.4</v>
      </c>
      <c r="U227" s="1">
        <v>0.5</v>
      </c>
      <c r="V227" s="1">
        <v>1.4</v>
      </c>
      <c r="W227" s="1">
        <v>1.9</v>
      </c>
      <c r="X227" s="1">
        <f t="array" ref="X227:AR227">XLOOKUP(MID(A227, SEARCH("+++", A227) + 3, LEN(A227)),'Defensive Data'!$A$2:$A$134,'Defensive Data'!$D$2:$X$134)</f>
        <v>21.8</v>
      </c>
      <c r="Y227" s="1">
        <v>33.0</v>
      </c>
      <c r="Z227" s="1">
        <v>65.9</v>
      </c>
      <c r="AA227" s="1">
        <v>316.0</v>
      </c>
      <c r="AB227" s="1">
        <v>3.2</v>
      </c>
      <c r="AC227" s="1">
        <v>37.3</v>
      </c>
      <c r="AD227" s="1">
        <v>180.8</v>
      </c>
      <c r="AE227" s="1">
        <v>4.9</v>
      </c>
      <c r="AF227" s="1">
        <v>2.3</v>
      </c>
      <c r="AG227" s="1">
        <v>70.3</v>
      </c>
      <c r="AH227" s="1">
        <v>496.8</v>
      </c>
      <c r="AI227" s="1">
        <v>7.1</v>
      </c>
      <c r="AJ227" s="1">
        <v>12.8</v>
      </c>
      <c r="AK227" s="1">
        <v>8.3</v>
      </c>
      <c r="AL227" s="1">
        <v>1.1</v>
      </c>
      <c r="AM227" s="1">
        <v>22.2</v>
      </c>
      <c r="AN227" s="1">
        <v>8.1</v>
      </c>
      <c r="AO227" s="1">
        <v>80.3</v>
      </c>
      <c r="AP227" s="1">
        <v>0.6</v>
      </c>
      <c r="AQ227" s="1">
        <v>0.8</v>
      </c>
      <c r="AR227" s="1">
        <v>1.3</v>
      </c>
    </row>
    <row r="228" ht="15.75" customHeight="1">
      <c r="A228" s="1" t="str">
        <f>CONCATENATE(Scores!A228,"+++",Scores!C228)</f>
        <v>Oregon+++Oregon State</v>
      </c>
      <c r="B228" s="1">
        <f>Scores!B228</f>
        <v>49</v>
      </c>
      <c r="C228" s="1">
        <f t="array" ref="C228:W228">XLOOKUP(LEFT(A228,SEARCH("+",A228)-1),'Offensive Data'!$A$2:$A$134,'Offensive Data'!$D$2:$X$134)</f>
        <v>23.9</v>
      </c>
      <c r="D228" s="1">
        <v>32.9</v>
      </c>
      <c r="E228" s="1">
        <v>72.8</v>
      </c>
      <c r="F228" s="1">
        <v>279.5</v>
      </c>
      <c r="G228" s="1">
        <v>2.1</v>
      </c>
      <c r="H228" s="1">
        <v>35.6</v>
      </c>
      <c r="I228" s="1">
        <v>157.9</v>
      </c>
      <c r="J228" s="1">
        <v>4.4</v>
      </c>
      <c r="K228" s="1">
        <v>2.1</v>
      </c>
      <c r="L228" s="1">
        <v>68.5</v>
      </c>
      <c r="M228" s="1">
        <v>437.4</v>
      </c>
      <c r="N228" s="1">
        <v>6.4</v>
      </c>
      <c r="O228" s="1">
        <v>12.5</v>
      </c>
      <c r="P228" s="1">
        <v>9.1</v>
      </c>
      <c r="Q228" s="1">
        <v>1.5</v>
      </c>
      <c r="R228" s="1">
        <v>23.1</v>
      </c>
      <c r="S228" s="1">
        <v>5.3</v>
      </c>
      <c r="T228" s="1">
        <v>41.4</v>
      </c>
      <c r="U228" s="1">
        <v>0.4</v>
      </c>
      <c r="V228" s="1">
        <v>0.4</v>
      </c>
      <c r="W228" s="1">
        <v>0.8</v>
      </c>
      <c r="X228" s="1">
        <f t="array" ref="X228:AR228">XLOOKUP(MID(A228, SEARCH("+++", A228) + 3, LEN(A228)),'Defensive Data'!$A$2:$A$134,'Defensive Data'!$D$2:$X$134)</f>
        <v>15.8</v>
      </c>
      <c r="Y228" s="1">
        <v>26.4</v>
      </c>
      <c r="Z228" s="1">
        <v>59.9</v>
      </c>
      <c r="AA228" s="1">
        <v>214.1</v>
      </c>
      <c r="AB228" s="1">
        <v>1.3</v>
      </c>
      <c r="AC228" s="1">
        <v>34.9</v>
      </c>
      <c r="AD228" s="1">
        <v>185.8</v>
      </c>
      <c r="AE228" s="1">
        <v>5.3</v>
      </c>
      <c r="AF228" s="1">
        <v>2.2</v>
      </c>
      <c r="AG228" s="1">
        <v>61.3</v>
      </c>
      <c r="AH228" s="1">
        <v>399.9</v>
      </c>
      <c r="AI228" s="1">
        <v>6.5</v>
      </c>
      <c r="AJ228" s="1">
        <v>9.7</v>
      </c>
      <c r="AK228" s="1">
        <v>9.7</v>
      </c>
      <c r="AL228" s="1">
        <v>1.4</v>
      </c>
      <c r="AM228" s="1">
        <v>20.8</v>
      </c>
      <c r="AN228" s="1">
        <v>5.2</v>
      </c>
      <c r="AO228" s="1">
        <v>49.5</v>
      </c>
      <c r="AP228" s="1">
        <v>0.6</v>
      </c>
      <c r="AQ228" s="1">
        <v>0.4</v>
      </c>
      <c r="AR228" s="1">
        <v>1.0</v>
      </c>
    </row>
    <row r="229" ht="15.75" customHeight="1">
      <c r="A229" s="1" t="str">
        <f>CONCATENATE(Scores!A229,"+++",Scores!C229)</f>
        <v>Pittsburgh+++West Virginia</v>
      </c>
      <c r="B229" s="1">
        <f>Scores!B229</f>
        <v>38</v>
      </c>
      <c r="C229" s="1" t="str">
        <f t="array" ref="C229">XLOOKUP(LEFT(A229,SEARCH("+",A229)-1),'Offensive Data'!$A$2:$A$134,'Offensive Data'!$D$2:$X$134)</f>
        <v>#N/A</v>
      </c>
      <c r="X229" s="1">
        <f t="array" ref="X229:AR229">XLOOKUP(MID(A229, SEARCH("+++", A229) + 3, LEN(A229)),'Defensive Data'!$A$2:$A$134,'Defensive Data'!$D$2:$X$134)</f>
        <v>19</v>
      </c>
      <c r="Y229" s="1">
        <v>29.7</v>
      </c>
      <c r="Z229" s="1">
        <v>64.0</v>
      </c>
      <c r="AA229" s="1">
        <v>270.8</v>
      </c>
      <c r="AB229" s="1">
        <v>2.0</v>
      </c>
      <c r="AC229" s="1">
        <v>34.2</v>
      </c>
      <c r="AD229" s="1">
        <v>144.4</v>
      </c>
      <c r="AE229" s="1">
        <v>4.2</v>
      </c>
      <c r="AF229" s="1">
        <v>2.2</v>
      </c>
      <c r="AG229" s="1">
        <v>63.8</v>
      </c>
      <c r="AH229" s="1">
        <v>415.2</v>
      </c>
      <c r="AI229" s="1">
        <v>6.5</v>
      </c>
      <c r="AJ229" s="1">
        <v>12.0</v>
      </c>
      <c r="AK229" s="1">
        <v>8.4</v>
      </c>
      <c r="AL229" s="1">
        <v>1.4</v>
      </c>
      <c r="AM229" s="1">
        <v>21.8</v>
      </c>
      <c r="AN229" s="1">
        <v>5.9</v>
      </c>
      <c r="AO229" s="1">
        <v>51.1</v>
      </c>
      <c r="AP229" s="1">
        <v>0.5</v>
      </c>
      <c r="AQ229" s="1">
        <v>0.4</v>
      </c>
      <c r="AR229" s="1">
        <v>0.8</v>
      </c>
    </row>
    <row r="230" ht="15.75" customHeight="1">
      <c r="A230" s="1" t="str">
        <f>CONCATENATE(Scores!A230,"+++",Scores!C230)</f>
        <v>Sam Houston+++Hawaii</v>
      </c>
      <c r="B230" s="1">
        <f>Scores!B230</f>
        <v>31</v>
      </c>
      <c r="C230" s="1">
        <f t="array" ref="C230:W230">XLOOKUP(LEFT(A230,SEARCH("+",A230)-1),'Offensive Data'!$A$2:$A$134,'Offensive Data'!$D$2:$X$134)</f>
        <v>16.7</v>
      </c>
      <c r="D230" s="1">
        <v>26.9</v>
      </c>
      <c r="E230" s="1">
        <v>62.0</v>
      </c>
      <c r="F230" s="1">
        <v>168.2</v>
      </c>
      <c r="G230" s="1">
        <v>1.2</v>
      </c>
      <c r="H230" s="1">
        <v>42.8</v>
      </c>
      <c r="I230" s="1">
        <v>179.8</v>
      </c>
      <c r="J230" s="1">
        <v>4.2</v>
      </c>
      <c r="K230" s="1">
        <v>1.6</v>
      </c>
      <c r="L230" s="1">
        <v>69.8</v>
      </c>
      <c r="M230" s="1">
        <v>347.9</v>
      </c>
      <c r="N230" s="1">
        <v>5.0</v>
      </c>
      <c r="O230" s="1">
        <v>8.0</v>
      </c>
      <c r="P230" s="1">
        <v>9.5</v>
      </c>
      <c r="Q230" s="1">
        <v>1.4</v>
      </c>
      <c r="R230" s="1">
        <v>18.8</v>
      </c>
      <c r="S230" s="1">
        <v>4.6</v>
      </c>
      <c r="T230" s="1">
        <v>37.9</v>
      </c>
      <c r="U230" s="1">
        <v>0.5</v>
      </c>
      <c r="V230" s="1">
        <v>0.7</v>
      </c>
      <c r="W230" s="1">
        <v>1.2</v>
      </c>
      <c r="X230" s="1">
        <f t="array" ref="X230:AR230">XLOOKUP(MID(A230, SEARCH("+++", A230) + 3, LEN(A230)),'Defensive Data'!$A$2:$A$134,'Defensive Data'!$D$2:$X$134)</f>
        <v>19.9</v>
      </c>
      <c r="Y230" s="1">
        <v>30.5</v>
      </c>
      <c r="Z230" s="1">
        <v>65.3</v>
      </c>
      <c r="AA230" s="1">
        <v>211.3</v>
      </c>
      <c r="AB230" s="1">
        <v>1.5</v>
      </c>
      <c r="AC230" s="1">
        <v>35.5</v>
      </c>
      <c r="AD230" s="1">
        <v>165.7</v>
      </c>
      <c r="AE230" s="1">
        <v>4.7</v>
      </c>
      <c r="AF230" s="1">
        <v>1.7</v>
      </c>
      <c r="AG230" s="1">
        <v>66.0</v>
      </c>
      <c r="AH230" s="1">
        <v>376.9</v>
      </c>
      <c r="AI230" s="1">
        <v>5.7</v>
      </c>
      <c r="AJ230" s="1">
        <v>9.3</v>
      </c>
      <c r="AK230" s="1">
        <v>8.5</v>
      </c>
      <c r="AL230" s="1">
        <v>2.6</v>
      </c>
      <c r="AM230" s="1">
        <v>20.3</v>
      </c>
      <c r="AN230" s="1">
        <v>6.9</v>
      </c>
      <c r="AO230" s="1">
        <v>68.3</v>
      </c>
      <c r="AP230" s="1">
        <v>0.4</v>
      </c>
      <c r="AQ230" s="1">
        <v>0.5</v>
      </c>
      <c r="AR230" s="1">
        <v>0.9</v>
      </c>
    </row>
    <row r="231" ht="15.75" customHeight="1">
      <c r="A231" s="1" t="str">
        <f>CONCATENATE(Scores!A231,"+++",Scores!C231)</f>
        <v>San Jose State+++Kennesaw State</v>
      </c>
      <c r="B231" s="1">
        <f>Scores!B231</f>
        <v>31</v>
      </c>
      <c r="C231" s="1">
        <f t="array" ref="C231:W231">XLOOKUP(LEFT(A231,SEARCH("+",A231)-1),'Offensive Data'!$A$2:$A$134,'Offensive Data'!$D$2:$X$134)</f>
        <v>24.3</v>
      </c>
      <c r="D231" s="1">
        <v>42.5</v>
      </c>
      <c r="E231" s="1">
        <v>57.2</v>
      </c>
      <c r="F231" s="1">
        <v>321.8</v>
      </c>
      <c r="G231" s="1">
        <v>2.4</v>
      </c>
      <c r="H231" s="1">
        <v>24.9</v>
      </c>
      <c r="I231" s="1">
        <v>88.1</v>
      </c>
      <c r="J231" s="1">
        <v>3.5</v>
      </c>
      <c r="K231" s="1">
        <v>1.0</v>
      </c>
      <c r="L231" s="1">
        <v>67.4</v>
      </c>
      <c r="M231" s="1">
        <v>409.8</v>
      </c>
      <c r="N231" s="1">
        <v>6.1</v>
      </c>
      <c r="O231" s="1">
        <v>13.8</v>
      </c>
      <c r="P231" s="1">
        <v>5.5</v>
      </c>
      <c r="Q231" s="1">
        <v>2.5</v>
      </c>
      <c r="R231" s="1">
        <v>21.8</v>
      </c>
      <c r="S231" s="1">
        <v>7.0</v>
      </c>
      <c r="T231" s="1">
        <v>60.3</v>
      </c>
      <c r="U231" s="1">
        <v>1.0</v>
      </c>
      <c r="V231" s="1">
        <v>1.2</v>
      </c>
      <c r="W231" s="1">
        <v>2.2</v>
      </c>
      <c r="X231" s="1">
        <f t="array" ref="X231:AR231">XLOOKUP(MID(A231, SEARCH("+++", A231) + 3, LEN(A231)),'Defensive Data'!$A$2:$A$134,'Defensive Data'!$D$2:$X$134)</f>
        <v>20.3</v>
      </c>
      <c r="Y231" s="1">
        <v>30.1</v>
      </c>
      <c r="Z231" s="1">
        <v>67.3</v>
      </c>
      <c r="AA231" s="1">
        <v>236.8</v>
      </c>
      <c r="AB231" s="1">
        <v>1.8</v>
      </c>
      <c r="AC231" s="1">
        <v>38.2</v>
      </c>
      <c r="AD231" s="1">
        <v>175.9</v>
      </c>
      <c r="AE231" s="1">
        <v>4.6</v>
      </c>
      <c r="AF231" s="1">
        <v>2.1</v>
      </c>
      <c r="AG231" s="1">
        <v>68.3</v>
      </c>
      <c r="AH231" s="1">
        <v>412.7</v>
      </c>
      <c r="AI231" s="1">
        <v>6.0</v>
      </c>
      <c r="AJ231" s="1">
        <v>9.8</v>
      </c>
      <c r="AK231" s="1">
        <v>9.9</v>
      </c>
      <c r="AL231" s="1">
        <v>1.4</v>
      </c>
      <c r="AM231" s="1">
        <v>21.1</v>
      </c>
      <c r="AN231" s="1">
        <v>5.3</v>
      </c>
      <c r="AO231" s="1">
        <v>50.5</v>
      </c>
      <c r="AP231" s="1">
        <v>0.7</v>
      </c>
      <c r="AQ231" s="1">
        <v>0.3</v>
      </c>
      <c r="AR231" s="1">
        <v>1.0</v>
      </c>
    </row>
    <row r="232" ht="15.75" customHeight="1">
      <c r="A232" s="1" t="str">
        <f>CONCATENATE(Scores!A232,"+++",Scores!C232)</f>
        <v>South Florida+++Southern Mississippi</v>
      </c>
      <c r="B232" s="1">
        <f>Scores!B232</f>
        <v>49</v>
      </c>
      <c r="C232" s="1">
        <f t="array" ref="C232:W232">XLOOKUP(LEFT(A232,SEARCH("+",A232)-1),'Offensive Data'!$A$2:$A$134,'Offensive Data'!$D$2:$X$134)</f>
        <v>20.2</v>
      </c>
      <c r="D232" s="1">
        <v>34.1</v>
      </c>
      <c r="E232" s="1">
        <v>59.1</v>
      </c>
      <c r="F232" s="1">
        <v>227.5</v>
      </c>
      <c r="G232" s="1">
        <v>1.2</v>
      </c>
      <c r="H232" s="1">
        <v>37.8</v>
      </c>
      <c r="I232" s="1">
        <v>180.2</v>
      </c>
      <c r="J232" s="1">
        <v>4.8</v>
      </c>
      <c r="K232" s="1">
        <v>2.6</v>
      </c>
      <c r="L232" s="1">
        <v>71.9</v>
      </c>
      <c r="M232" s="1">
        <v>407.7</v>
      </c>
      <c r="N232" s="1">
        <v>5.7</v>
      </c>
      <c r="O232" s="1">
        <v>10.0</v>
      </c>
      <c r="P232" s="1">
        <v>8.2</v>
      </c>
      <c r="Q232" s="1">
        <v>2.2</v>
      </c>
      <c r="R232" s="1">
        <v>20.4</v>
      </c>
      <c r="S232" s="1">
        <v>8.1</v>
      </c>
      <c r="T232" s="1">
        <v>70.9</v>
      </c>
      <c r="U232" s="1">
        <v>0.6</v>
      </c>
      <c r="V232" s="1">
        <v>0.8</v>
      </c>
      <c r="W232" s="1">
        <v>1.4</v>
      </c>
      <c r="X232" s="1">
        <f t="array" ref="X232:AR232">XLOOKUP(MID(A232, SEARCH("+++", A232) + 3, LEN(A232)),'Defensive Data'!$A$2:$A$134,'Defensive Data'!$D$2:$X$134)</f>
        <v>17.4</v>
      </c>
      <c r="Y232" s="1">
        <v>26.8</v>
      </c>
      <c r="Z232" s="1">
        <v>65.1</v>
      </c>
      <c r="AA232" s="1">
        <v>216.5</v>
      </c>
      <c r="AB232" s="1">
        <v>2.0</v>
      </c>
      <c r="AC232" s="1">
        <v>39.5</v>
      </c>
      <c r="AD232" s="1">
        <v>232.7</v>
      </c>
      <c r="AE232" s="1">
        <v>5.9</v>
      </c>
      <c r="AF232" s="1">
        <v>2.6</v>
      </c>
      <c r="AG232" s="1">
        <v>66.3</v>
      </c>
      <c r="AH232" s="1">
        <v>449.2</v>
      </c>
      <c r="AI232" s="1">
        <v>6.8</v>
      </c>
      <c r="AJ232" s="1">
        <v>9.7</v>
      </c>
      <c r="AK232" s="1">
        <v>10.9</v>
      </c>
      <c r="AL232" s="1">
        <v>1.2</v>
      </c>
      <c r="AM232" s="1">
        <v>21.8</v>
      </c>
      <c r="AN232" s="1">
        <v>6.2</v>
      </c>
      <c r="AO232" s="1">
        <v>54.9</v>
      </c>
      <c r="AP232" s="1">
        <v>0.3</v>
      </c>
      <c r="AQ232" s="1">
        <v>0.5</v>
      </c>
      <c r="AR232" s="1">
        <v>0.8</v>
      </c>
    </row>
    <row r="233" ht="15.75" customHeight="1">
      <c r="A233" s="1" t="str">
        <f>CONCATENATE(Scores!A233,"+++",Scores!C233)</f>
        <v>Tennessee+++Kent State</v>
      </c>
      <c r="B233" s="1">
        <f>Scores!B233</f>
        <v>71</v>
      </c>
      <c r="C233" s="1">
        <f t="array" ref="C233:W233">XLOOKUP(LEFT(A233,SEARCH("+",A233)-1),'Offensive Data'!$A$2:$A$134,'Offensive Data'!$D$2:$X$134)</f>
        <v>18.2</v>
      </c>
      <c r="D233" s="1">
        <v>28.8</v>
      </c>
      <c r="E233" s="1">
        <v>63.1</v>
      </c>
      <c r="F233" s="1">
        <v>221.2</v>
      </c>
      <c r="G233" s="1">
        <v>1.6</v>
      </c>
      <c r="H233" s="1">
        <v>44.9</v>
      </c>
      <c r="I233" s="1">
        <v>225.8</v>
      </c>
      <c r="J233" s="1">
        <v>5.0</v>
      </c>
      <c r="K233" s="1">
        <v>2.6</v>
      </c>
      <c r="L233" s="1">
        <v>73.7</v>
      </c>
      <c r="M233" s="1">
        <v>447.0</v>
      </c>
      <c r="N233" s="1">
        <v>6.1</v>
      </c>
      <c r="O233" s="1">
        <v>10.4</v>
      </c>
      <c r="P233" s="1">
        <v>11.6</v>
      </c>
      <c r="Q233" s="1">
        <v>1.4</v>
      </c>
      <c r="R233" s="1">
        <v>23.4</v>
      </c>
      <c r="S233" s="1">
        <v>8.1</v>
      </c>
      <c r="T233" s="1">
        <v>66.8</v>
      </c>
      <c r="U233" s="1">
        <v>0.6</v>
      </c>
      <c r="V233" s="1">
        <v>0.5</v>
      </c>
      <c r="W233" s="1">
        <v>1.2</v>
      </c>
      <c r="X233" s="1" t="str">
        <f t="array" ref="X233">XLOOKUP(MID(A233, SEARCH("+++", A233) + 3, LEN(A233)),'Defensive Data'!$A$2:$A$134,'Defensive Data'!$D$2:$X$134)</f>
        <v>#N/A</v>
      </c>
    </row>
    <row r="234" ht="15.75" customHeight="1">
      <c r="A234" s="1" t="str">
        <f>CONCATENATE(Scores!A234,"+++",Scores!C234)</f>
        <v>Texas+++Texas-San Antonio</v>
      </c>
      <c r="B234" s="1">
        <f>Scores!B234</f>
        <v>56</v>
      </c>
      <c r="C234" s="1">
        <f t="array" ref="C234:W234">XLOOKUP(LEFT(A234,SEARCH("+",A234)-1),'Offensive Data'!$A$2:$A$134,'Offensive Data'!$D$2:$X$134)</f>
        <v>22.3</v>
      </c>
      <c r="D234" s="1">
        <v>33.8</v>
      </c>
      <c r="E234" s="1">
        <v>66.0</v>
      </c>
      <c r="F234" s="1">
        <v>278.8</v>
      </c>
      <c r="G234" s="1">
        <v>2.5</v>
      </c>
      <c r="H234" s="1">
        <v>36.6</v>
      </c>
      <c r="I234" s="1">
        <v>158.8</v>
      </c>
      <c r="J234" s="1">
        <v>4.3</v>
      </c>
      <c r="K234" s="1">
        <v>1.6</v>
      </c>
      <c r="L234" s="1">
        <v>70.4</v>
      </c>
      <c r="M234" s="1">
        <v>437.5</v>
      </c>
      <c r="N234" s="1">
        <v>6.2</v>
      </c>
      <c r="O234" s="1">
        <v>11.8</v>
      </c>
      <c r="P234" s="1">
        <v>8.6</v>
      </c>
      <c r="Q234" s="1">
        <v>1.8</v>
      </c>
      <c r="R234" s="1">
        <v>22.1</v>
      </c>
      <c r="S234" s="1">
        <v>6.4</v>
      </c>
      <c r="T234" s="1">
        <v>51.8</v>
      </c>
      <c r="U234" s="1">
        <v>0.8</v>
      </c>
      <c r="V234" s="1">
        <v>0.9</v>
      </c>
      <c r="W234" s="1">
        <v>1.6</v>
      </c>
      <c r="X234" s="1" t="str">
        <f t="array" ref="X234">XLOOKUP(MID(A234, SEARCH("+++", A234) + 3, LEN(A234)),'Defensive Data'!$A$2:$A$134,'Defensive Data'!$D$2:$X$134)</f>
        <v>#N/A</v>
      </c>
    </row>
    <row r="235" ht="15.75" customHeight="1">
      <c r="A235" s="1" t="str">
        <f>CONCATENATE(Scores!A235,"+++",Scores!C235)</f>
        <v>Texas A&amp;M+++Florida</v>
      </c>
      <c r="B235" s="1">
        <f>Scores!B235</f>
        <v>33</v>
      </c>
      <c r="C235" s="1">
        <f t="array" ref="C235:W235">XLOOKUP(LEFT(A235,SEARCH("+",A235)-1),'Offensive Data'!$A$2:$A$134,'Offensive Data'!$D$2:$X$134)</f>
        <v>16.6</v>
      </c>
      <c r="D235" s="1">
        <v>27.8</v>
      </c>
      <c r="E235" s="1">
        <v>59.8</v>
      </c>
      <c r="F235" s="1">
        <v>210.3</v>
      </c>
      <c r="G235" s="1">
        <v>1.5</v>
      </c>
      <c r="H235" s="1">
        <v>40.5</v>
      </c>
      <c r="I235" s="1">
        <v>195.5</v>
      </c>
      <c r="J235" s="1">
        <v>4.8</v>
      </c>
      <c r="K235" s="1">
        <v>2.1</v>
      </c>
      <c r="L235" s="1">
        <v>68.2</v>
      </c>
      <c r="M235" s="1">
        <v>405.8</v>
      </c>
      <c r="N235" s="1">
        <v>5.9</v>
      </c>
      <c r="O235" s="1">
        <v>10.2</v>
      </c>
      <c r="P235" s="1">
        <v>9.7</v>
      </c>
      <c r="Q235" s="1">
        <v>1.6</v>
      </c>
      <c r="R235" s="1">
        <v>21.5</v>
      </c>
      <c r="S235" s="1">
        <v>7.5</v>
      </c>
      <c r="T235" s="1">
        <v>66.3</v>
      </c>
      <c r="U235" s="1">
        <v>0.3</v>
      </c>
      <c r="V235" s="1">
        <v>0.8</v>
      </c>
      <c r="W235" s="1">
        <v>1.2</v>
      </c>
      <c r="X235" s="1">
        <f t="array" ref="X235:AR235">XLOOKUP(MID(A235, SEARCH("+++", A235) + 3, LEN(A235)),'Defensive Data'!$A$2:$A$134,'Defensive Data'!$D$2:$X$134)</f>
        <v>18.8</v>
      </c>
      <c r="Y235" s="1">
        <v>32.4</v>
      </c>
      <c r="Z235" s="1">
        <v>58.0</v>
      </c>
      <c r="AA235" s="1">
        <v>227.5</v>
      </c>
      <c r="AB235" s="1">
        <v>1.4</v>
      </c>
      <c r="AC235" s="1">
        <v>39.4</v>
      </c>
      <c r="AD235" s="1">
        <v>149.5</v>
      </c>
      <c r="AE235" s="1">
        <v>3.8</v>
      </c>
      <c r="AF235" s="1">
        <v>1.3</v>
      </c>
      <c r="AG235" s="1">
        <v>71.8</v>
      </c>
      <c r="AH235" s="1">
        <v>376.9</v>
      </c>
      <c r="AI235" s="1">
        <v>5.3</v>
      </c>
      <c r="AJ235" s="1">
        <v>10.5</v>
      </c>
      <c r="AK235" s="1">
        <v>9.3</v>
      </c>
      <c r="AL235" s="1">
        <v>1.8</v>
      </c>
      <c r="AM235" s="1">
        <v>21.7</v>
      </c>
      <c r="AN235" s="1">
        <v>4.8</v>
      </c>
      <c r="AO235" s="1">
        <v>44.1</v>
      </c>
      <c r="AP235" s="1">
        <v>0.8</v>
      </c>
      <c r="AQ235" s="1">
        <v>1.1</v>
      </c>
      <c r="AR235" s="1">
        <v>1.9</v>
      </c>
    </row>
    <row r="236" ht="15.75" customHeight="1">
      <c r="A236" s="1" t="str">
        <f>CONCATENATE(Scores!A236,"+++",Scores!C236)</f>
        <v>Texas Tech+++North Texas</v>
      </c>
      <c r="B236" s="1">
        <f>Scores!B236</f>
        <v>66</v>
      </c>
      <c r="C236" s="1">
        <f t="array" ref="C236:W236">XLOOKUP(LEFT(A236,SEARCH("+",A236)-1),'Offensive Data'!$A$2:$A$134,'Offensive Data'!$D$2:$X$134)</f>
        <v>25.8</v>
      </c>
      <c r="D236" s="1">
        <v>41.2</v>
      </c>
      <c r="E236" s="1">
        <v>62.7</v>
      </c>
      <c r="F236" s="1">
        <v>296.7</v>
      </c>
      <c r="G236" s="1">
        <v>2.4</v>
      </c>
      <c r="H236" s="1">
        <v>36.5</v>
      </c>
      <c r="I236" s="1">
        <v>166.0</v>
      </c>
      <c r="J236" s="1">
        <v>4.6</v>
      </c>
      <c r="K236" s="1">
        <v>2.0</v>
      </c>
      <c r="L236" s="1">
        <v>77.7</v>
      </c>
      <c r="M236" s="1">
        <v>462.7</v>
      </c>
      <c r="N236" s="1">
        <v>6.0</v>
      </c>
      <c r="O236" s="1">
        <v>13.4</v>
      </c>
      <c r="P236" s="1">
        <v>9.5</v>
      </c>
      <c r="Q236" s="1">
        <v>1.6</v>
      </c>
      <c r="R236" s="1">
        <v>24.5</v>
      </c>
      <c r="S236" s="1">
        <v>7.3</v>
      </c>
      <c r="T236" s="1">
        <v>60.9</v>
      </c>
      <c r="U236" s="1">
        <v>0.8</v>
      </c>
      <c r="V236" s="1">
        <v>0.8</v>
      </c>
      <c r="W236" s="1">
        <v>1.6</v>
      </c>
      <c r="X236" s="1">
        <f t="array" ref="X236:AR236">XLOOKUP(MID(A236, SEARCH("+++", A236) + 3, LEN(A236)),'Defensive Data'!$A$2:$A$134,'Defensive Data'!$D$2:$X$134)</f>
        <v>20.1</v>
      </c>
      <c r="Y236" s="1">
        <v>32.8</v>
      </c>
      <c r="Z236" s="1">
        <v>61.3</v>
      </c>
      <c r="AA236" s="1">
        <v>264.6</v>
      </c>
      <c r="AB236" s="1">
        <v>1.8</v>
      </c>
      <c r="AC236" s="1">
        <v>41.8</v>
      </c>
      <c r="AD236" s="1">
        <v>195.9</v>
      </c>
      <c r="AE236" s="1">
        <v>4.7</v>
      </c>
      <c r="AF236" s="1">
        <v>2.2</v>
      </c>
      <c r="AG236" s="1">
        <v>74.6</v>
      </c>
      <c r="AH236" s="1">
        <v>460.5</v>
      </c>
      <c r="AI236" s="1">
        <v>6.2</v>
      </c>
      <c r="AJ236" s="1">
        <v>11.0</v>
      </c>
      <c r="AK236" s="1">
        <v>10.2</v>
      </c>
      <c r="AL236" s="1">
        <v>1.8</v>
      </c>
      <c r="AM236" s="1">
        <v>23.0</v>
      </c>
      <c r="AN236" s="1">
        <v>7.0</v>
      </c>
      <c r="AO236" s="1">
        <v>63.8</v>
      </c>
      <c r="AP236" s="1">
        <v>0.4</v>
      </c>
      <c r="AQ236" s="1">
        <v>0.8</v>
      </c>
      <c r="AR236" s="1">
        <v>1.2</v>
      </c>
    </row>
    <row r="237" ht="15.75" customHeight="1">
      <c r="A237" s="1" t="str">
        <f>CONCATENATE(Scores!A237,"+++",Scores!C237)</f>
        <v>Toledo+++Mississippi State</v>
      </c>
      <c r="B237" s="1">
        <f>Scores!B237</f>
        <v>41</v>
      </c>
      <c r="C237" s="1">
        <f t="array" ref="C237:W237">XLOOKUP(LEFT(A237,SEARCH("+",A237)-1),'Offensive Data'!$A$2:$A$134,'Offensive Data'!$D$2:$X$134)</f>
        <v>21.2</v>
      </c>
      <c r="D237" s="1">
        <v>34.8</v>
      </c>
      <c r="E237" s="1">
        <v>60.9</v>
      </c>
      <c r="F237" s="1">
        <v>254.2</v>
      </c>
      <c r="G237" s="1">
        <v>2.2</v>
      </c>
      <c r="H237" s="1">
        <v>33.5</v>
      </c>
      <c r="I237" s="1">
        <v>115.7</v>
      </c>
      <c r="J237" s="1">
        <v>3.4</v>
      </c>
      <c r="K237" s="1">
        <v>1.0</v>
      </c>
      <c r="L237" s="1">
        <v>68.4</v>
      </c>
      <c r="M237" s="1">
        <v>369.9</v>
      </c>
      <c r="N237" s="1">
        <v>5.4</v>
      </c>
      <c r="O237" s="1">
        <v>11.1</v>
      </c>
      <c r="P237" s="1">
        <v>6.2</v>
      </c>
      <c r="Q237" s="1">
        <v>2.5</v>
      </c>
      <c r="R237" s="1">
        <v>19.8</v>
      </c>
      <c r="S237" s="1">
        <v>6.4</v>
      </c>
      <c r="T237" s="1">
        <v>56.8</v>
      </c>
      <c r="U237" s="1">
        <v>0.8</v>
      </c>
      <c r="V237" s="1">
        <v>0.6</v>
      </c>
      <c r="W237" s="1">
        <v>1.5</v>
      </c>
      <c r="X237" s="1">
        <f t="array" ref="X237:AR237">XLOOKUP(MID(A237, SEARCH("+++", A237) + 3, LEN(A237)),'Defensive Data'!$A$2:$A$134,'Defensive Data'!$D$2:$X$134)</f>
        <v>20</v>
      </c>
      <c r="Y237" s="1">
        <v>28.4</v>
      </c>
      <c r="Z237" s="1">
        <v>70.4</v>
      </c>
      <c r="AA237" s="1">
        <v>239.5</v>
      </c>
      <c r="AB237" s="1">
        <v>1.9</v>
      </c>
      <c r="AC237" s="1">
        <v>43.6</v>
      </c>
      <c r="AD237" s="1">
        <v>216.9</v>
      </c>
      <c r="AE237" s="1">
        <v>5.0</v>
      </c>
      <c r="AF237" s="1">
        <v>2.0</v>
      </c>
      <c r="AG237" s="1">
        <v>72.0</v>
      </c>
      <c r="AH237" s="1">
        <v>456.4</v>
      </c>
      <c r="AI237" s="1">
        <v>6.3</v>
      </c>
      <c r="AJ237" s="1">
        <v>11.3</v>
      </c>
      <c r="AK237" s="1">
        <v>10.8</v>
      </c>
      <c r="AL237" s="1">
        <v>1.8</v>
      </c>
      <c r="AM237" s="1">
        <v>23.8</v>
      </c>
      <c r="AN237" s="1">
        <v>6.3</v>
      </c>
      <c r="AO237" s="1">
        <v>58.8</v>
      </c>
      <c r="AP237" s="1">
        <v>0.4</v>
      </c>
      <c r="AQ237" s="1">
        <v>0.6</v>
      </c>
      <c r="AR237" s="1">
        <v>1.0</v>
      </c>
    </row>
    <row r="238" ht="15.75" customHeight="1">
      <c r="A238" s="1" t="str">
        <f>CONCATENATE(Scores!A238,"+++",Scores!C238)</f>
        <v>Utah+++Utah State</v>
      </c>
      <c r="B238" s="1">
        <f>Scores!B238</f>
        <v>38</v>
      </c>
      <c r="C238" s="1">
        <f t="array" ref="C238:W238">XLOOKUP(LEFT(A238,SEARCH("+",A238)-1),'Offensive Data'!$A$2:$A$134,'Offensive Data'!$D$2:$X$134)</f>
        <v>16.6</v>
      </c>
      <c r="D238" s="1">
        <v>29.8</v>
      </c>
      <c r="E238" s="1">
        <v>55.6</v>
      </c>
      <c r="F238" s="1">
        <v>199.4</v>
      </c>
      <c r="G238" s="1">
        <v>1.7</v>
      </c>
      <c r="H238" s="1">
        <v>33.6</v>
      </c>
      <c r="I238" s="1">
        <v>130.4</v>
      </c>
      <c r="J238" s="1">
        <v>3.9</v>
      </c>
      <c r="K238" s="1">
        <v>0.6</v>
      </c>
      <c r="L238" s="1">
        <v>63.4</v>
      </c>
      <c r="M238" s="1">
        <v>329.8</v>
      </c>
      <c r="N238" s="1">
        <v>5.2</v>
      </c>
      <c r="O238" s="1">
        <v>8.6</v>
      </c>
      <c r="P238" s="1">
        <v>6.8</v>
      </c>
      <c r="Q238" s="1">
        <v>1.3</v>
      </c>
      <c r="R238" s="1">
        <v>16.6</v>
      </c>
      <c r="S238" s="1">
        <v>5.4</v>
      </c>
      <c r="T238" s="1">
        <v>46.3</v>
      </c>
      <c r="U238" s="1">
        <v>0.4</v>
      </c>
      <c r="V238" s="1">
        <v>1.4</v>
      </c>
      <c r="W238" s="1">
        <v>1.8</v>
      </c>
      <c r="X238" s="1">
        <f t="array" ref="X238:AR238">XLOOKUP(MID(A238, SEARCH("+++", A238) + 3, LEN(A238)),'Defensive Data'!$A$2:$A$134,'Defensive Data'!$D$2:$X$134)</f>
        <v>22.3</v>
      </c>
      <c r="Y238" s="1">
        <v>32.8</v>
      </c>
      <c r="Z238" s="1">
        <v>67.9</v>
      </c>
      <c r="AA238" s="1">
        <v>255.6</v>
      </c>
      <c r="AB238" s="1">
        <v>2.3</v>
      </c>
      <c r="AC238" s="1">
        <v>39.8</v>
      </c>
      <c r="AD238" s="1">
        <v>214.5</v>
      </c>
      <c r="AE238" s="1">
        <v>5.4</v>
      </c>
      <c r="AF238" s="1">
        <v>2.3</v>
      </c>
      <c r="AG238" s="1">
        <v>72.6</v>
      </c>
      <c r="AH238" s="1">
        <v>470.1</v>
      </c>
      <c r="AI238" s="1">
        <v>6.5</v>
      </c>
      <c r="AJ238" s="1">
        <v>12.3</v>
      </c>
      <c r="AK238" s="1">
        <v>9.3</v>
      </c>
      <c r="AL238" s="1">
        <v>1.8</v>
      </c>
      <c r="AM238" s="1">
        <v>23.4</v>
      </c>
      <c r="AN238" s="1">
        <v>7.5</v>
      </c>
      <c r="AO238" s="1">
        <v>59.4</v>
      </c>
      <c r="AP238" s="1">
        <v>0.3</v>
      </c>
      <c r="AQ238" s="1">
        <v>1.1</v>
      </c>
      <c r="AR238" s="1">
        <v>1.3</v>
      </c>
    </row>
    <row r="239" ht="15.75" customHeight="1">
      <c r="A239" s="1" t="str">
        <f>CONCATENATE(Scores!A239,"+++",Scores!C239)</f>
        <v>Virginia Tech+++Old Dominion</v>
      </c>
      <c r="B239" s="1">
        <f>Scores!B239</f>
        <v>37</v>
      </c>
      <c r="C239" s="1">
        <f t="array" ref="C239:W239">XLOOKUP(LEFT(A239,SEARCH("+",A239)-1),'Offensive Data'!$A$2:$A$134,'Offensive Data'!$D$2:$X$134)</f>
        <v>15.4</v>
      </c>
      <c r="D239" s="1">
        <v>26.1</v>
      </c>
      <c r="E239" s="1">
        <v>59.0</v>
      </c>
      <c r="F239" s="1">
        <v>189.4</v>
      </c>
      <c r="G239" s="1">
        <v>1.2</v>
      </c>
      <c r="H239" s="1">
        <v>37.8</v>
      </c>
      <c r="I239" s="1">
        <v>178.4</v>
      </c>
      <c r="J239" s="1">
        <v>4.7</v>
      </c>
      <c r="K239" s="1">
        <v>2.2</v>
      </c>
      <c r="L239" s="1">
        <v>63.9</v>
      </c>
      <c r="M239" s="1">
        <v>367.8</v>
      </c>
      <c r="N239" s="1">
        <v>5.8</v>
      </c>
      <c r="O239" s="1">
        <v>7.8</v>
      </c>
      <c r="P239" s="1">
        <v>8.8</v>
      </c>
      <c r="Q239" s="1">
        <v>1.9</v>
      </c>
      <c r="R239" s="1">
        <v>18.5</v>
      </c>
      <c r="S239" s="1">
        <v>5.7</v>
      </c>
      <c r="T239" s="1">
        <v>48.8</v>
      </c>
      <c r="U239" s="1">
        <v>0.6</v>
      </c>
      <c r="V239" s="1">
        <v>0.7</v>
      </c>
      <c r="W239" s="1">
        <v>1.3</v>
      </c>
      <c r="X239" s="1">
        <f t="array" ref="X239:AR239">XLOOKUP(MID(A239, SEARCH("+++", A239) + 3, LEN(A239)),'Defensive Data'!$A$2:$A$134,'Defensive Data'!$D$2:$X$134)</f>
        <v>19</v>
      </c>
      <c r="Y239" s="1">
        <v>31.2</v>
      </c>
      <c r="Z239" s="1">
        <v>61.0</v>
      </c>
      <c r="AA239" s="1">
        <v>237.8</v>
      </c>
      <c r="AB239" s="1">
        <v>1.9</v>
      </c>
      <c r="AC239" s="1">
        <v>40.4</v>
      </c>
      <c r="AD239" s="1">
        <v>172.6</v>
      </c>
      <c r="AE239" s="1">
        <v>4.3</v>
      </c>
      <c r="AF239" s="1">
        <v>1.5</v>
      </c>
      <c r="AG239" s="1">
        <v>71.6</v>
      </c>
      <c r="AH239" s="1">
        <v>410.4</v>
      </c>
      <c r="AI239" s="1">
        <v>5.7</v>
      </c>
      <c r="AJ239" s="1">
        <v>9.8</v>
      </c>
      <c r="AK239" s="1">
        <v>9.7</v>
      </c>
      <c r="AL239" s="1">
        <v>1.8</v>
      </c>
      <c r="AM239" s="1">
        <v>21.3</v>
      </c>
      <c r="AN239" s="1">
        <v>5.9</v>
      </c>
      <c r="AO239" s="1">
        <v>49.2</v>
      </c>
      <c r="AP239" s="1">
        <v>0.4</v>
      </c>
      <c r="AQ239" s="1">
        <v>1.0</v>
      </c>
      <c r="AR239" s="1">
        <v>1.4</v>
      </c>
    </row>
    <row r="240" ht="15.75" customHeight="1">
      <c r="A240" s="1" t="str">
        <f>CONCATENATE(Scores!A240,"+++",Scores!C240)</f>
        <v>Washington State+++Washington</v>
      </c>
      <c r="B240" s="1">
        <f>Scores!B240</f>
        <v>24</v>
      </c>
      <c r="C240" s="1">
        <f t="array" ref="C240:W240">XLOOKUP(LEFT(A240,SEARCH("+",A240)-1),'Offensive Data'!$A$2:$A$134,'Offensive Data'!$D$2:$X$134)</f>
        <v>20.2</v>
      </c>
      <c r="D240" s="1">
        <v>30.7</v>
      </c>
      <c r="E240" s="1">
        <v>65.9</v>
      </c>
      <c r="F240" s="1">
        <v>276.1</v>
      </c>
      <c r="G240" s="1">
        <v>2.5</v>
      </c>
      <c r="H240" s="1">
        <v>36.2</v>
      </c>
      <c r="I240" s="1">
        <v>166.8</v>
      </c>
      <c r="J240" s="1">
        <v>4.6</v>
      </c>
      <c r="K240" s="1">
        <v>2.2</v>
      </c>
      <c r="L240" s="1">
        <v>66.8</v>
      </c>
      <c r="M240" s="1">
        <v>442.8</v>
      </c>
      <c r="N240" s="1">
        <v>6.6</v>
      </c>
      <c r="O240" s="1">
        <v>11.8</v>
      </c>
      <c r="P240" s="1">
        <v>9.1</v>
      </c>
      <c r="Q240" s="1">
        <v>2.0</v>
      </c>
      <c r="R240" s="1">
        <v>22.9</v>
      </c>
      <c r="S240" s="1">
        <v>6.2</v>
      </c>
      <c r="T240" s="1">
        <v>57.8</v>
      </c>
      <c r="U240" s="1">
        <v>0.4</v>
      </c>
      <c r="V240" s="1">
        <v>0.7</v>
      </c>
      <c r="W240" s="1">
        <v>1.1</v>
      </c>
      <c r="X240" s="1">
        <f t="array" ref="X240:AR240">XLOOKUP(MID(A240, SEARCH("+++", A240) + 3, LEN(A240)),'Defensive Data'!$A$2:$A$134,'Defensive Data'!$D$2:$X$134)</f>
        <v>16.2</v>
      </c>
      <c r="Y240" s="1">
        <v>29.0</v>
      </c>
      <c r="Z240" s="1">
        <v>55.7</v>
      </c>
      <c r="AA240" s="1">
        <v>166.5</v>
      </c>
      <c r="AB240" s="1">
        <v>1.2</v>
      </c>
      <c r="AC240" s="1">
        <v>35.5</v>
      </c>
      <c r="AD240" s="1">
        <v>161.8</v>
      </c>
      <c r="AE240" s="1">
        <v>4.6</v>
      </c>
      <c r="AF240" s="1">
        <v>1.5</v>
      </c>
      <c r="AG240" s="1">
        <v>64.5</v>
      </c>
      <c r="AH240" s="1">
        <v>328.4</v>
      </c>
      <c r="AI240" s="1">
        <v>5.1</v>
      </c>
      <c r="AJ240" s="1">
        <v>8.0</v>
      </c>
      <c r="AK240" s="1">
        <v>9.5</v>
      </c>
      <c r="AL240" s="1">
        <v>2.2</v>
      </c>
      <c r="AM240" s="1">
        <v>19.7</v>
      </c>
      <c r="AN240" s="1">
        <v>5.0</v>
      </c>
      <c r="AO240" s="1">
        <v>42.0</v>
      </c>
      <c r="AP240" s="1">
        <v>0.5</v>
      </c>
      <c r="AQ240" s="1">
        <v>0.6</v>
      </c>
      <c r="AR240" s="1">
        <v>1.1</v>
      </c>
    </row>
    <row r="241" ht="15.75" customHeight="1">
      <c r="A241" s="1" t="str">
        <f>CONCATENATE(Scores!A241,"+++",Scores!C241)</f>
        <v>Western Kentucky+++Middle Tennessee State</v>
      </c>
      <c r="B241" s="1">
        <f>Scores!B241</f>
        <v>49</v>
      </c>
      <c r="C241" s="1">
        <f t="array" ref="C241:W241">XLOOKUP(LEFT(A241,SEARCH("+",A241)-1),'Offensive Data'!$A$2:$A$134,'Offensive Data'!$D$2:$X$134)</f>
        <v>22.1</v>
      </c>
      <c r="D241" s="1">
        <v>33.6</v>
      </c>
      <c r="E241" s="1">
        <v>65.7</v>
      </c>
      <c r="F241" s="1">
        <v>264.6</v>
      </c>
      <c r="G241" s="1">
        <v>2.0</v>
      </c>
      <c r="H241" s="1">
        <v>31.4</v>
      </c>
      <c r="I241" s="1">
        <v>108.9</v>
      </c>
      <c r="J241" s="1">
        <v>3.5</v>
      </c>
      <c r="K241" s="1">
        <v>1.0</v>
      </c>
      <c r="L241" s="1">
        <v>65.0</v>
      </c>
      <c r="M241" s="1">
        <v>373.5</v>
      </c>
      <c r="N241" s="1">
        <v>5.7</v>
      </c>
      <c r="O241" s="1">
        <v>11.5</v>
      </c>
      <c r="P241" s="1">
        <v>6.4</v>
      </c>
      <c r="Q241" s="1">
        <v>1.4</v>
      </c>
      <c r="R241" s="1">
        <v>19.3</v>
      </c>
      <c r="S241" s="1">
        <v>4.1</v>
      </c>
      <c r="T241" s="1">
        <v>41.3</v>
      </c>
      <c r="U241" s="1">
        <v>0.9</v>
      </c>
      <c r="V241" s="1">
        <v>0.9</v>
      </c>
      <c r="W241" s="1">
        <v>1.7</v>
      </c>
      <c r="X241" s="1">
        <f t="array" ref="X241:AR241">XLOOKUP(MID(A241, SEARCH("+++", A241) + 3, LEN(A241)),'Defensive Data'!$A$2:$A$134,'Defensive Data'!$D$2:$X$134)</f>
        <v>19.3</v>
      </c>
      <c r="Y241" s="1">
        <v>28.6</v>
      </c>
      <c r="Z241" s="1">
        <v>67.3</v>
      </c>
      <c r="AA241" s="1">
        <v>252.2</v>
      </c>
      <c r="AB241" s="1">
        <v>2.3</v>
      </c>
      <c r="AC241" s="1">
        <v>38.8</v>
      </c>
      <c r="AD241" s="1">
        <v>197.0</v>
      </c>
      <c r="AE241" s="1">
        <v>5.1</v>
      </c>
      <c r="AF241" s="1">
        <v>2.2</v>
      </c>
      <c r="AG241" s="1">
        <v>67.3</v>
      </c>
      <c r="AH241" s="1">
        <v>449.2</v>
      </c>
      <c r="AI241" s="1">
        <v>6.7</v>
      </c>
      <c r="AJ241" s="1">
        <v>11.6</v>
      </c>
      <c r="AK241" s="1">
        <v>10.3</v>
      </c>
      <c r="AL241" s="1">
        <v>1.5</v>
      </c>
      <c r="AM241" s="1">
        <v>23.4</v>
      </c>
      <c r="AN241" s="1">
        <v>5.5</v>
      </c>
      <c r="AO241" s="1">
        <v>50.9</v>
      </c>
      <c r="AP241" s="1">
        <v>0.4</v>
      </c>
      <c r="AQ241" s="1">
        <v>0.4</v>
      </c>
      <c r="AR241" s="1">
        <v>0.8</v>
      </c>
    </row>
    <row r="242" ht="15.75" customHeight="1">
      <c r="A242" s="1" t="str">
        <f>CONCATENATE(Scores!A242,"+++",Scores!C242)</f>
        <v>Western Michigan+++Bethune-Cookman</v>
      </c>
      <c r="B242" s="1">
        <f>Scores!B242</f>
        <v>59</v>
      </c>
      <c r="C242" s="1">
        <f t="array" ref="C242:W242">XLOOKUP(LEFT(A242,SEARCH("+",A242)-1),'Offensive Data'!$A$2:$A$134,'Offensive Data'!$D$2:$X$134)</f>
        <v>16.3</v>
      </c>
      <c r="D242" s="1">
        <v>24.8</v>
      </c>
      <c r="E242" s="1">
        <v>65.6</v>
      </c>
      <c r="F242" s="1">
        <v>187.0</v>
      </c>
      <c r="G242" s="1">
        <v>1.4</v>
      </c>
      <c r="H242" s="1">
        <v>37.2</v>
      </c>
      <c r="I242" s="1">
        <v>183.0</v>
      </c>
      <c r="J242" s="1">
        <v>4.9</v>
      </c>
      <c r="K242" s="1">
        <v>2.2</v>
      </c>
      <c r="L242" s="1">
        <v>62.1</v>
      </c>
      <c r="M242" s="1">
        <v>370.0</v>
      </c>
      <c r="N242" s="1">
        <v>6.0</v>
      </c>
      <c r="O242" s="1">
        <v>8.7</v>
      </c>
      <c r="P242" s="1">
        <v>9.4</v>
      </c>
      <c r="Q242" s="1">
        <v>1.4</v>
      </c>
      <c r="R242" s="1">
        <v>19.5</v>
      </c>
      <c r="S242" s="1">
        <v>4.2</v>
      </c>
      <c r="T242" s="1">
        <v>39.2</v>
      </c>
      <c r="U242" s="1">
        <v>0.3</v>
      </c>
      <c r="V242" s="1">
        <v>0.7</v>
      </c>
      <c r="W242" s="1">
        <v>1.0</v>
      </c>
      <c r="X242" s="1" t="str">
        <f t="array" ref="X242">XLOOKUP(MID(A242, SEARCH("+++", A242) + 3, LEN(A242)),'Defensive Data'!$A$2:$A$134,'Defensive Data'!$D$2:$X$134)</f>
        <v>#N/A</v>
      </c>
    </row>
    <row r="243" ht="15.75" customHeight="1">
      <c r="A243" s="1" t="str">
        <f>CONCATENATE(Scores!A243,"+++",Scores!C243)</f>
        <v>South Alabama+++Appalachian State</v>
      </c>
      <c r="B243" s="1">
        <f>Scores!B243</f>
        <v>48</v>
      </c>
      <c r="C243" s="1">
        <f t="array" ref="C243:W243">XLOOKUP(LEFT(A243,SEARCH("+",A243)-1),'Offensive Data'!$A$2:$A$134,'Offensive Data'!$D$2:$X$134)</f>
        <v>19.5</v>
      </c>
      <c r="D243" s="1">
        <v>30.1</v>
      </c>
      <c r="E243" s="1">
        <v>65.0</v>
      </c>
      <c r="F243" s="1">
        <v>243.5</v>
      </c>
      <c r="G243" s="1">
        <v>1.6</v>
      </c>
      <c r="H243" s="1">
        <v>34.5</v>
      </c>
      <c r="I243" s="1">
        <v>198.7</v>
      </c>
      <c r="J243" s="1">
        <v>5.8</v>
      </c>
      <c r="K243" s="1">
        <v>2.5</v>
      </c>
      <c r="L243" s="1">
        <v>64.6</v>
      </c>
      <c r="M243" s="1">
        <v>442.2</v>
      </c>
      <c r="N243" s="1">
        <v>6.8</v>
      </c>
      <c r="O243" s="1">
        <v>10.3</v>
      </c>
      <c r="P243" s="1">
        <v>10.1</v>
      </c>
      <c r="Q243" s="1">
        <v>1.2</v>
      </c>
      <c r="R243" s="1">
        <v>21.6</v>
      </c>
      <c r="S243" s="1">
        <v>8.2</v>
      </c>
      <c r="T243" s="1">
        <v>71.3</v>
      </c>
      <c r="U243" s="1">
        <v>0.5</v>
      </c>
      <c r="V243" s="1">
        <v>0.5</v>
      </c>
      <c r="W243" s="1">
        <v>0.9</v>
      </c>
      <c r="X243" s="1">
        <f t="array" ref="X243:AR243">XLOOKUP(MID(A243, SEARCH("+++", A243) + 3, LEN(A243)),'Defensive Data'!$A$2:$A$134,'Defensive Data'!$D$2:$X$134)</f>
        <v>17.6</v>
      </c>
      <c r="Y243" s="1">
        <v>25.6</v>
      </c>
      <c r="Z243" s="1">
        <v>68.8</v>
      </c>
      <c r="AA243" s="1">
        <v>214.8</v>
      </c>
      <c r="AB243" s="1">
        <v>1.8</v>
      </c>
      <c r="AC243" s="1">
        <v>37.4</v>
      </c>
      <c r="AD243" s="1">
        <v>197.6</v>
      </c>
      <c r="AE243" s="1">
        <v>5.3</v>
      </c>
      <c r="AF243" s="1">
        <v>2.2</v>
      </c>
      <c r="AG243" s="1">
        <v>63.0</v>
      </c>
      <c r="AH243" s="1">
        <v>412.5</v>
      </c>
      <c r="AI243" s="1">
        <v>6.5</v>
      </c>
      <c r="AJ243" s="1">
        <v>8.7</v>
      </c>
      <c r="AK243" s="1">
        <v>10.7</v>
      </c>
      <c r="AL243" s="1">
        <v>2.0</v>
      </c>
      <c r="AM243" s="1">
        <v>21.5</v>
      </c>
      <c r="AN243" s="1">
        <v>7.0</v>
      </c>
      <c r="AO243" s="1">
        <v>63.8</v>
      </c>
      <c r="AP243" s="1">
        <v>0.8</v>
      </c>
      <c r="AQ243" s="1">
        <v>0.4</v>
      </c>
      <c r="AR243" s="1">
        <v>1.2</v>
      </c>
    </row>
    <row r="244" ht="15.75" customHeight="1">
      <c r="A244" s="1" t="str">
        <f>CONCATENATE(Scores!A244,"+++",Scores!C244)</f>
        <v>Illinois+++Nebraska</v>
      </c>
      <c r="B244" s="1">
        <f>Scores!B244</f>
        <v>31</v>
      </c>
      <c r="C244" s="1">
        <f t="array" ref="C244:W244">XLOOKUP(LEFT(A244,SEARCH("+",A244)-1),'Offensive Data'!$A$2:$A$134,'Offensive Data'!$D$2:$X$134)</f>
        <v>16.4</v>
      </c>
      <c r="D244" s="1">
        <v>27.2</v>
      </c>
      <c r="E244" s="1">
        <v>60.3</v>
      </c>
      <c r="F244" s="1">
        <v>211.2</v>
      </c>
      <c r="G244" s="1">
        <v>1.7</v>
      </c>
      <c r="H244" s="1">
        <v>34.8</v>
      </c>
      <c r="I244" s="1">
        <v>153.6</v>
      </c>
      <c r="J244" s="1">
        <v>4.4</v>
      </c>
      <c r="K244" s="1">
        <v>1.7</v>
      </c>
      <c r="L244" s="1">
        <v>61.9</v>
      </c>
      <c r="M244" s="1">
        <v>364.8</v>
      </c>
      <c r="N244" s="1">
        <v>5.9</v>
      </c>
      <c r="O244" s="1">
        <v>9.8</v>
      </c>
      <c r="P244" s="1">
        <v>8.5</v>
      </c>
      <c r="Q244" s="1">
        <v>2.2</v>
      </c>
      <c r="R244" s="1">
        <v>20.4</v>
      </c>
      <c r="S244" s="1">
        <v>5.2</v>
      </c>
      <c r="T244" s="1">
        <v>40.2</v>
      </c>
      <c r="U244" s="1">
        <v>0.6</v>
      </c>
      <c r="V244" s="1">
        <v>0.5</v>
      </c>
      <c r="W244" s="1">
        <v>1.1</v>
      </c>
      <c r="X244" s="1">
        <f t="array" ref="X244:AR244">XLOOKUP(MID(A244, SEARCH("+++", A244) + 3, LEN(A244)),'Defensive Data'!$A$2:$A$134,'Defensive Data'!$D$2:$X$134)</f>
        <v>18.6</v>
      </c>
      <c r="Y244" s="1">
        <v>29.2</v>
      </c>
      <c r="Z244" s="1">
        <v>63.9</v>
      </c>
      <c r="AA244" s="1">
        <v>216.7</v>
      </c>
      <c r="AB244" s="1">
        <v>1.8</v>
      </c>
      <c r="AC244" s="1">
        <v>30.0</v>
      </c>
      <c r="AD244" s="1">
        <v>101.2</v>
      </c>
      <c r="AE244" s="1">
        <v>3.4</v>
      </c>
      <c r="AF244" s="1">
        <v>0.6</v>
      </c>
      <c r="AG244" s="1">
        <v>59.2</v>
      </c>
      <c r="AH244" s="1">
        <v>317.9</v>
      </c>
      <c r="AI244" s="1">
        <v>5.4</v>
      </c>
      <c r="AJ244" s="1">
        <v>9.3</v>
      </c>
      <c r="AK244" s="1">
        <v>5.3</v>
      </c>
      <c r="AL244" s="1">
        <v>1.8</v>
      </c>
      <c r="AM244" s="1">
        <v>16.5</v>
      </c>
      <c r="AN244" s="1">
        <v>6.2</v>
      </c>
      <c r="AO244" s="1">
        <v>62.5</v>
      </c>
      <c r="AP244" s="1">
        <v>0.5</v>
      </c>
      <c r="AQ244" s="1">
        <v>0.8</v>
      </c>
      <c r="AR244" s="1">
        <v>1.3</v>
      </c>
    </row>
    <row r="245" ht="15.75" customHeight="1">
      <c r="A245" s="1" t="str">
        <f>CONCATENATE(Scores!A245,"+++",Scores!C245)</f>
        <v>Stanford+++Syracuse</v>
      </c>
      <c r="B245" s="1">
        <f>Scores!B245</f>
        <v>26</v>
      </c>
      <c r="C245" s="1">
        <f t="array" ref="C245:W245">XLOOKUP(LEFT(A245,SEARCH("+",A245)-1),'Offensive Data'!$A$2:$A$134,'Offensive Data'!$D$2:$X$134)</f>
        <v>18.7</v>
      </c>
      <c r="D245" s="1">
        <v>30.8</v>
      </c>
      <c r="E245" s="1">
        <v>60.5</v>
      </c>
      <c r="F245" s="1">
        <v>191.3</v>
      </c>
      <c r="G245" s="1">
        <v>1.5</v>
      </c>
      <c r="H245" s="1">
        <v>36.4</v>
      </c>
      <c r="I245" s="1">
        <v>132.7</v>
      </c>
      <c r="J245" s="1">
        <v>3.6</v>
      </c>
      <c r="K245" s="1">
        <v>0.9</v>
      </c>
      <c r="L245" s="1">
        <v>67.3</v>
      </c>
      <c r="M245" s="1">
        <v>323.9</v>
      </c>
      <c r="N245" s="1">
        <v>4.8</v>
      </c>
      <c r="O245" s="1">
        <v>9.3</v>
      </c>
      <c r="P245" s="1">
        <v>7.4</v>
      </c>
      <c r="Q245" s="1">
        <v>1.8</v>
      </c>
      <c r="R245" s="1">
        <v>18.6</v>
      </c>
      <c r="S245" s="1">
        <v>5.4</v>
      </c>
      <c r="T245" s="1">
        <v>49.0</v>
      </c>
      <c r="U245" s="1">
        <v>0.4</v>
      </c>
      <c r="V245" s="1">
        <v>1.4</v>
      </c>
      <c r="W245" s="1">
        <v>1.8</v>
      </c>
      <c r="X245" s="1">
        <f t="array" ref="X245:AR245">XLOOKUP(MID(A245, SEARCH("+++", A245) + 3, LEN(A245)),'Defensive Data'!$A$2:$A$134,'Defensive Data'!$D$2:$X$134)</f>
        <v>20.5</v>
      </c>
      <c r="Y245" s="1">
        <v>31.2</v>
      </c>
      <c r="Z245" s="1">
        <v>65.9</v>
      </c>
      <c r="AA245" s="1">
        <v>227.3</v>
      </c>
      <c r="AB245" s="1">
        <v>1.7</v>
      </c>
      <c r="AC245" s="1">
        <v>29.9</v>
      </c>
      <c r="AD245" s="1">
        <v>150.2</v>
      </c>
      <c r="AE245" s="1">
        <v>5.0</v>
      </c>
      <c r="AF245" s="1">
        <v>1.5</v>
      </c>
      <c r="AG245" s="1">
        <v>61.1</v>
      </c>
      <c r="AH245" s="1">
        <v>377.5</v>
      </c>
      <c r="AI245" s="1">
        <v>6.2</v>
      </c>
      <c r="AJ245" s="1">
        <v>10.3</v>
      </c>
      <c r="AK245" s="1">
        <v>7.2</v>
      </c>
      <c r="AL245" s="1">
        <v>2.2</v>
      </c>
      <c r="AM245" s="1">
        <v>19.6</v>
      </c>
      <c r="AN245" s="1">
        <v>5.1</v>
      </c>
      <c r="AO245" s="1">
        <v>46.6</v>
      </c>
      <c r="AP245" s="1">
        <v>0.4</v>
      </c>
      <c r="AQ245" s="1">
        <v>0.8</v>
      </c>
      <c r="AR245" s="1">
        <v>1.2</v>
      </c>
    </row>
    <row r="246" ht="15.75" customHeight="1">
      <c r="A246" s="1" t="str">
        <f>CONCATENATE(Scores!A246,"+++",Scores!C246)</f>
        <v>Washington State+++San Jose State</v>
      </c>
      <c r="B246" s="1">
        <f>Scores!B246</f>
        <v>54</v>
      </c>
      <c r="C246" s="1">
        <f t="array" ref="C246:W246">XLOOKUP(LEFT(A246,SEARCH("+",A246)-1),'Offensive Data'!$A$2:$A$134,'Offensive Data'!$D$2:$X$134)</f>
        <v>20.2</v>
      </c>
      <c r="D246" s="1">
        <v>30.7</v>
      </c>
      <c r="E246" s="1">
        <v>65.9</v>
      </c>
      <c r="F246" s="1">
        <v>276.1</v>
      </c>
      <c r="G246" s="1">
        <v>2.5</v>
      </c>
      <c r="H246" s="1">
        <v>36.2</v>
      </c>
      <c r="I246" s="1">
        <v>166.8</v>
      </c>
      <c r="J246" s="1">
        <v>4.6</v>
      </c>
      <c r="K246" s="1">
        <v>2.2</v>
      </c>
      <c r="L246" s="1">
        <v>66.8</v>
      </c>
      <c r="M246" s="1">
        <v>442.8</v>
      </c>
      <c r="N246" s="1">
        <v>6.6</v>
      </c>
      <c r="O246" s="1">
        <v>11.8</v>
      </c>
      <c r="P246" s="1">
        <v>9.1</v>
      </c>
      <c r="Q246" s="1">
        <v>2.0</v>
      </c>
      <c r="R246" s="1">
        <v>22.9</v>
      </c>
      <c r="S246" s="1">
        <v>6.2</v>
      </c>
      <c r="T246" s="1">
        <v>57.8</v>
      </c>
      <c r="U246" s="1">
        <v>0.4</v>
      </c>
      <c r="V246" s="1">
        <v>0.7</v>
      </c>
      <c r="W246" s="1">
        <v>1.1</v>
      </c>
      <c r="X246" s="1">
        <f t="array" ref="X246:AR246">XLOOKUP(MID(A246, SEARCH("+++", A246) + 3, LEN(A246)),'Defensive Data'!$A$2:$A$134,'Defensive Data'!$D$2:$X$134)</f>
        <v>20.6</v>
      </c>
      <c r="Y246" s="1">
        <v>33.5</v>
      </c>
      <c r="Z246" s="1">
        <v>61.6</v>
      </c>
      <c r="AA246" s="1">
        <v>232.8</v>
      </c>
      <c r="AB246" s="1">
        <v>1.2</v>
      </c>
      <c r="AC246" s="1">
        <v>41.9</v>
      </c>
      <c r="AD246" s="1">
        <v>147.8</v>
      </c>
      <c r="AE246" s="1">
        <v>3.5</v>
      </c>
      <c r="AF246" s="1">
        <v>1.9</v>
      </c>
      <c r="AG246" s="1">
        <v>75.4</v>
      </c>
      <c r="AH246" s="1">
        <v>380.6</v>
      </c>
      <c r="AI246" s="1">
        <v>5.0</v>
      </c>
      <c r="AJ246" s="1">
        <v>10.2</v>
      </c>
      <c r="AK246" s="1">
        <v>9.5</v>
      </c>
      <c r="AL246" s="1">
        <v>1.7</v>
      </c>
      <c r="AM246" s="1">
        <v>21.5</v>
      </c>
      <c r="AN246" s="1">
        <v>8.2</v>
      </c>
      <c r="AO246" s="1">
        <v>75.2</v>
      </c>
      <c r="AP246" s="1">
        <v>0.5</v>
      </c>
      <c r="AQ246" s="1">
        <v>1.6</v>
      </c>
      <c r="AR246" s="1">
        <v>2.2</v>
      </c>
    </row>
    <row r="247" ht="15.75" customHeight="1">
      <c r="A247" s="1" t="str">
        <f>CONCATENATE(Scores!A247,"+++",Scores!C247)</f>
        <v>Arkansas+++Auburn</v>
      </c>
      <c r="B247" s="1">
        <f>Scores!B247</f>
        <v>24</v>
      </c>
      <c r="C247" s="1">
        <f t="array" ref="C247:W247">XLOOKUP(LEFT(A247,SEARCH("+",A247)-1),'Offensive Data'!$A$2:$A$134,'Offensive Data'!$D$2:$X$134)</f>
        <v>19.6</v>
      </c>
      <c r="D247" s="1">
        <v>31.8</v>
      </c>
      <c r="E247" s="1">
        <v>61.6</v>
      </c>
      <c r="F247" s="1">
        <v>274.7</v>
      </c>
      <c r="G247" s="1">
        <v>1.2</v>
      </c>
      <c r="H247" s="1">
        <v>38.0</v>
      </c>
      <c r="I247" s="1">
        <v>184.8</v>
      </c>
      <c r="J247" s="1">
        <v>4.9</v>
      </c>
      <c r="K247" s="1">
        <v>2.6</v>
      </c>
      <c r="L247" s="1">
        <v>69.8</v>
      </c>
      <c r="M247" s="1">
        <v>459.5</v>
      </c>
      <c r="N247" s="1">
        <v>6.6</v>
      </c>
      <c r="O247" s="1">
        <v>11.5</v>
      </c>
      <c r="P247" s="1">
        <v>11.5</v>
      </c>
      <c r="Q247" s="1">
        <v>1.2</v>
      </c>
      <c r="R247" s="1">
        <v>24.2</v>
      </c>
      <c r="S247" s="1">
        <v>7.2</v>
      </c>
      <c r="T247" s="1">
        <v>59.8</v>
      </c>
      <c r="U247" s="1">
        <v>1.1</v>
      </c>
      <c r="V247" s="1">
        <v>0.7</v>
      </c>
      <c r="W247" s="1">
        <v>1.8</v>
      </c>
      <c r="X247" s="1">
        <f t="array" ref="X247:AR247">XLOOKUP(MID(A247, SEARCH("+++", A247) + 3, LEN(A247)),'Defensive Data'!$A$2:$A$134,'Defensive Data'!$D$2:$X$134)</f>
        <v>16.6</v>
      </c>
      <c r="Y247" s="1">
        <v>29.5</v>
      </c>
      <c r="Z247" s="1">
        <v>56.2</v>
      </c>
      <c r="AA247" s="1">
        <v>213.0</v>
      </c>
      <c r="AB247" s="1">
        <v>1.0</v>
      </c>
      <c r="AC247" s="1">
        <v>38.3</v>
      </c>
      <c r="AD247" s="1">
        <v>117.8</v>
      </c>
      <c r="AE247" s="1">
        <v>3.1</v>
      </c>
      <c r="AF247" s="1">
        <v>1.5</v>
      </c>
      <c r="AG247" s="1">
        <v>67.8</v>
      </c>
      <c r="AH247" s="1">
        <v>330.8</v>
      </c>
      <c r="AI247" s="1">
        <v>4.9</v>
      </c>
      <c r="AJ247" s="1">
        <v>8.4</v>
      </c>
      <c r="AK247" s="1">
        <v>7.5</v>
      </c>
      <c r="AL247" s="1">
        <v>1.8</v>
      </c>
      <c r="AM247" s="1">
        <v>17.8</v>
      </c>
      <c r="AN247" s="1">
        <v>6.5</v>
      </c>
      <c r="AO247" s="1">
        <v>53.5</v>
      </c>
      <c r="AP247" s="1">
        <v>0.4</v>
      </c>
      <c r="AQ247" s="1">
        <v>0.7</v>
      </c>
      <c r="AR247" s="1">
        <v>1.1</v>
      </c>
    </row>
    <row r="248" ht="15.75" customHeight="1">
      <c r="A248" s="1" t="str">
        <f>CONCATENATE(Scores!A248,"+++",Scores!C248)</f>
        <v>Army+++Rice</v>
      </c>
      <c r="B248" s="1">
        <f>Scores!B248</f>
        <v>37</v>
      </c>
      <c r="C248" s="1">
        <f t="array" ref="C248:W248">XLOOKUP(LEFT(A248,SEARCH("+",A248)-1),'Offensive Data'!$A$2:$A$134,'Offensive Data'!$D$2:$X$134)</f>
        <v>4.7</v>
      </c>
      <c r="D248" s="1">
        <v>8.7</v>
      </c>
      <c r="E248" s="1">
        <v>54.1</v>
      </c>
      <c r="F248" s="1">
        <v>80.6</v>
      </c>
      <c r="G248" s="1">
        <v>0.7</v>
      </c>
      <c r="H248" s="1">
        <v>54.6</v>
      </c>
      <c r="I248" s="1">
        <v>300.5</v>
      </c>
      <c r="J248" s="1">
        <v>5.5</v>
      </c>
      <c r="K248" s="1">
        <v>3.4</v>
      </c>
      <c r="L248" s="1">
        <v>63.3</v>
      </c>
      <c r="M248" s="1">
        <v>381.1</v>
      </c>
      <c r="N248" s="1">
        <v>6.0</v>
      </c>
      <c r="O248" s="1">
        <v>3.1</v>
      </c>
      <c r="P248" s="1">
        <v>16.4</v>
      </c>
      <c r="Q248" s="1">
        <v>1.3</v>
      </c>
      <c r="R248" s="1">
        <v>20.9</v>
      </c>
      <c r="S248" s="1">
        <v>3.2</v>
      </c>
      <c r="T248" s="1">
        <v>31.5</v>
      </c>
      <c r="U248" s="1">
        <v>0.4</v>
      </c>
      <c r="V248" s="1">
        <v>0.3</v>
      </c>
      <c r="W248" s="1">
        <v>0.6</v>
      </c>
      <c r="X248" s="1">
        <f t="array" ref="X248:AR248">XLOOKUP(MID(A248, SEARCH("+++", A248) + 3, LEN(A248)),'Defensive Data'!$A$2:$A$134,'Defensive Data'!$D$2:$X$134)</f>
        <v>15</v>
      </c>
      <c r="Y248" s="1">
        <v>27.1</v>
      </c>
      <c r="Z248" s="1">
        <v>55.4</v>
      </c>
      <c r="AA248" s="1">
        <v>173.8</v>
      </c>
      <c r="AB248" s="1">
        <v>1.5</v>
      </c>
      <c r="AC248" s="1">
        <v>39.3</v>
      </c>
      <c r="AD248" s="1">
        <v>160.6</v>
      </c>
      <c r="AE248" s="1">
        <v>4.1</v>
      </c>
      <c r="AF248" s="1">
        <v>1.4</v>
      </c>
      <c r="AG248" s="1">
        <v>66.3</v>
      </c>
      <c r="AH248" s="1">
        <v>334.4</v>
      </c>
      <c r="AI248" s="1">
        <v>5.0</v>
      </c>
      <c r="AJ248" s="1">
        <v>7.2</v>
      </c>
      <c r="AK248" s="1">
        <v>9.1</v>
      </c>
      <c r="AL248" s="1">
        <v>1.6</v>
      </c>
      <c r="AM248" s="1">
        <v>17.8</v>
      </c>
      <c r="AN248" s="1">
        <v>6.2</v>
      </c>
      <c r="AO248" s="1">
        <v>59.0</v>
      </c>
      <c r="AP248" s="1">
        <v>0.3</v>
      </c>
      <c r="AQ248" s="1">
        <v>0.7</v>
      </c>
      <c r="AR248" s="1">
        <v>1.0</v>
      </c>
    </row>
    <row r="249" ht="15.75" customHeight="1">
      <c r="A249" s="1" t="str">
        <f>CONCATENATE(Scores!A249,"+++",Scores!C249)</f>
        <v>Boise State+++Portland State</v>
      </c>
      <c r="B249" s="1">
        <f>Scores!B249</f>
        <v>56</v>
      </c>
      <c r="C249" s="1">
        <f t="array" ref="C249:W249">XLOOKUP(LEFT(A249,SEARCH("+",A249)-1),'Offensive Data'!$A$2:$A$134,'Offensive Data'!$D$2:$X$134)</f>
        <v>18.6</v>
      </c>
      <c r="D249" s="1">
        <v>29.6</v>
      </c>
      <c r="E249" s="1">
        <v>62.9</v>
      </c>
      <c r="F249" s="1">
        <v>225.6</v>
      </c>
      <c r="G249" s="1">
        <v>1.6</v>
      </c>
      <c r="H249" s="1">
        <v>39.6</v>
      </c>
      <c r="I249" s="1">
        <v>240.4</v>
      </c>
      <c r="J249" s="1">
        <v>6.1</v>
      </c>
      <c r="K249" s="1">
        <v>3.1</v>
      </c>
      <c r="L249" s="1">
        <v>69.3</v>
      </c>
      <c r="M249" s="1">
        <v>466.0</v>
      </c>
      <c r="N249" s="1">
        <v>6.7</v>
      </c>
      <c r="O249" s="1">
        <v>11.0</v>
      </c>
      <c r="P249" s="1">
        <v>10.9</v>
      </c>
      <c r="Q249" s="1">
        <v>1.6</v>
      </c>
      <c r="R249" s="1">
        <v>23.4</v>
      </c>
      <c r="S249" s="1">
        <v>5.4</v>
      </c>
      <c r="T249" s="1">
        <v>46.2</v>
      </c>
      <c r="U249" s="1">
        <v>0.4</v>
      </c>
      <c r="V249" s="1">
        <v>0.5</v>
      </c>
      <c r="W249" s="1">
        <v>0.9</v>
      </c>
      <c r="X249" s="1" t="str">
        <f t="array" ref="X249">XLOOKUP(MID(A249, SEARCH("+++", A249) + 3, LEN(A249)),'Defensive Data'!$A$2:$A$134,'Defensive Data'!$D$2:$X$134)</f>
        <v>#N/A</v>
      </c>
    </row>
    <row r="250" ht="15.75" customHeight="1">
      <c r="A250" s="1" t="str">
        <f>CONCATENATE(Scores!A250,"+++",Scores!C250)</f>
        <v>Boston College+++Michigan State</v>
      </c>
      <c r="B250" s="1">
        <f>Scores!B250</f>
        <v>23</v>
      </c>
      <c r="C250" s="1">
        <f t="array" ref="C250:W250">XLOOKUP(LEFT(A250,SEARCH("+",A250)-1),'Offensive Data'!$A$2:$A$134,'Offensive Data'!$D$2:$X$134)</f>
        <v>15.9</v>
      </c>
      <c r="D250" s="1">
        <v>25.4</v>
      </c>
      <c r="E250" s="1">
        <v>62.7</v>
      </c>
      <c r="F250" s="1">
        <v>199.3</v>
      </c>
      <c r="G250" s="1">
        <v>1.8</v>
      </c>
      <c r="H250" s="1">
        <v>40.7</v>
      </c>
      <c r="I250" s="1">
        <v>166.1</v>
      </c>
      <c r="J250" s="1">
        <v>4.1</v>
      </c>
      <c r="K250" s="1">
        <v>1.8</v>
      </c>
      <c r="L250" s="1">
        <v>66.1</v>
      </c>
      <c r="M250" s="1">
        <v>365.4</v>
      </c>
      <c r="N250" s="1">
        <v>5.5</v>
      </c>
      <c r="O250" s="1">
        <v>8.6</v>
      </c>
      <c r="P250" s="1">
        <v>8.8</v>
      </c>
      <c r="Q250" s="1">
        <v>1.8</v>
      </c>
      <c r="R250" s="1">
        <v>19.3</v>
      </c>
      <c r="S250" s="1">
        <v>4.5</v>
      </c>
      <c r="T250" s="1">
        <v>43.1</v>
      </c>
      <c r="U250" s="1">
        <v>0.7</v>
      </c>
      <c r="V250" s="1">
        <v>0.5</v>
      </c>
      <c r="W250" s="1">
        <v>1.2</v>
      </c>
      <c r="X250" s="1">
        <f t="array" ref="X250:AR250">XLOOKUP(MID(A250, SEARCH("+++", A250) + 3, LEN(A250)),'Defensive Data'!$A$2:$A$134,'Defensive Data'!$D$2:$X$134)</f>
        <v>17.2</v>
      </c>
      <c r="Y250" s="1">
        <v>28.3</v>
      </c>
      <c r="Z250" s="1">
        <v>60.8</v>
      </c>
      <c r="AA250" s="1">
        <v>206.9</v>
      </c>
      <c r="AB250" s="1">
        <v>1.7</v>
      </c>
      <c r="AC250" s="1">
        <v>33.7</v>
      </c>
      <c r="AD250" s="1">
        <v>125.1</v>
      </c>
      <c r="AE250" s="1">
        <v>3.7</v>
      </c>
      <c r="AF250" s="1">
        <v>1.6</v>
      </c>
      <c r="AG250" s="1">
        <v>61.9</v>
      </c>
      <c r="AH250" s="1">
        <v>332.0</v>
      </c>
      <c r="AI250" s="1">
        <v>5.4</v>
      </c>
      <c r="AJ250" s="1">
        <v>10.1</v>
      </c>
      <c r="AK250" s="1">
        <v>6.4</v>
      </c>
      <c r="AL250" s="1">
        <v>2.2</v>
      </c>
      <c r="AM250" s="1">
        <v>18.7</v>
      </c>
      <c r="AN250" s="1">
        <v>4.2</v>
      </c>
      <c r="AO250" s="1">
        <v>33.9</v>
      </c>
      <c r="AP250" s="1">
        <v>0.2</v>
      </c>
      <c r="AQ250" s="1">
        <v>0.8</v>
      </c>
      <c r="AR250" s="1">
        <v>0.9</v>
      </c>
    </row>
    <row r="251" ht="15.75" customHeight="1">
      <c r="A251" s="1" t="str">
        <f>CONCATENATE(Scores!A251,"+++",Scores!C251)</f>
        <v>Brigham Young+++Kansas State</v>
      </c>
      <c r="B251" s="1">
        <f>Scores!B251</f>
        <v>38</v>
      </c>
      <c r="C251" s="1">
        <f t="array" ref="C251:W251">XLOOKUP(LEFT(A251,SEARCH("+",A251)-1),'Offensive Data'!$A$2:$A$134,'Offensive Data'!$D$2:$X$134)</f>
        <v>16.7</v>
      </c>
      <c r="D251" s="1">
        <v>29.2</v>
      </c>
      <c r="E251" s="1">
        <v>57.3</v>
      </c>
      <c r="F251" s="1">
        <v>231.3</v>
      </c>
      <c r="G251" s="1">
        <v>1.6</v>
      </c>
      <c r="H251" s="1">
        <v>35.2</v>
      </c>
      <c r="I251" s="1">
        <v>161.0</v>
      </c>
      <c r="J251" s="1">
        <v>4.6</v>
      </c>
      <c r="K251" s="1">
        <v>1.5</v>
      </c>
      <c r="L251" s="1">
        <v>64.3</v>
      </c>
      <c r="M251" s="1">
        <v>392.3</v>
      </c>
      <c r="N251" s="1">
        <v>6.1</v>
      </c>
      <c r="O251" s="1">
        <v>10.8</v>
      </c>
      <c r="P251" s="1">
        <v>9.8</v>
      </c>
      <c r="Q251" s="1">
        <v>1.6</v>
      </c>
      <c r="R251" s="1">
        <v>22.2</v>
      </c>
      <c r="S251" s="1">
        <v>5.1</v>
      </c>
      <c r="T251" s="1">
        <v>43.2</v>
      </c>
      <c r="U251" s="1">
        <v>0.5</v>
      </c>
      <c r="V251" s="1">
        <v>1.1</v>
      </c>
      <c r="W251" s="1">
        <v>1.6</v>
      </c>
      <c r="X251" s="1">
        <f t="array" ref="X251:AR251">XLOOKUP(MID(A251, SEARCH("+++", A251) + 3, LEN(A251)),'Defensive Data'!$A$2:$A$134,'Defensive Data'!$D$2:$X$134)</f>
        <v>18.8</v>
      </c>
      <c r="Y251" s="1">
        <v>32.0</v>
      </c>
      <c r="Z251" s="1">
        <v>58.7</v>
      </c>
      <c r="AA251" s="1">
        <v>224.7</v>
      </c>
      <c r="AB251" s="1">
        <v>1.5</v>
      </c>
      <c r="AC251" s="1">
        <v>33.3</v>
      </c>
      <c r="AD251" s="1">
        <v>118.7</v>
      </c>
      <c r="AE251" s="1">
        <v>3.6</v>
      </c>
      <c r="AF251" s="1">
        <v>1.2</v>
      </c>
      <c r="AG251" s="1">
        <v>65.3</v>
      </c>
      <c r="AH251" s="1">
        <v>343.4</v>
      </c>
      <c r="AI251" s="1">
        <v>5.3</v>
      </c>
      <c r="AJ251" s="1">
        <v>10.0</v>
      </c>
      <c r="AK251" s="1">
        <v>6.7</v>
      </c>
      <c r="AL251" s="1">
        <v>2.0</v>
      </c>
      <c r="AM251" s="1">
        <v>18.7</v>
      </c>
      <c r="AN251" s="1">
        <v>4.5</v>
      </c>
      <c r="AO251" s="1">
        <v>35.3</v>
      </c>
      <c r="AP251" s="1">
        <v>0.4</v>
      </c>
      <c r="AQ251" s="1">
        <v>0.8</v>
      </c>
      <c r="AR251" s="1">
        <v>1.2</v>
      </c>
    </row>
    <row r="252" ht="15.75" customHeight="1">
      <c r="A252" s="1" t="str">
        <f>CONCATENATE(Scores!A252,"+++",Scores!C252)</f>
        <v>Buffalo+++Northern Illinois</v>
      </c>
      <c r="B252" s="1">
        <f>Scores!B252</f>
        <v>23</v>
      </c>
      <c r="C252" s="1">
        <f t="array" ref="C252:W252">XLOOKUP(LEFT(A252,SEARCH("+",A252)-1),'Offensive Data'!$A$2:$A$134,'Offensive Data'!$D$2:$X$134)</f>
        <v>14.9</v>
      </c>
      <c r="D252" s="1">
        <v>26.7</v>
      </c>
      <c r="E252" s="1">
        <v>55.9</v>
      </c>
      <c r="F252" s="1">
        <v>186.3</v>
      </c>
      <c r="G252" s="1">
        <v>1.5</v>
      </c>
      <c r="H252" s="1">
        <v>41.0</v>
      </c>
      <c r="I252" s="1">
        <v>169.1</v>
      </c>
      <c r="J252" s="1">
        <v>4.1</v>
      </c>
      <c r="K252" s="1">
        <v>1.8</v>
      </c>
      <c r="L252" s="1">
        <v>67.7</v>
      </c>
      <c r="M252" s="1">
        <v>355.4</v>
      </c>
      <c r="N252" s="1">
        <v>5.3</v>
      </c>
      <c r="O252" s="1">
        <v>7.9</v>
      </c>
      <c r="P252" s="1">
        <v>9.2</v>
      </c>
      <c r="Q252" s="1">
        <v>1.4</v>
      </c>
      <c r="R252" s="1">
        <v>18.5</v>
      </c>
      <c r="S252" s="1">
        <v>4.5</v>
      </c>
      <c r="T252" s="1">
        <v>43.4</v>
      </c>
      <c r="U252" s="1">
        <v>0.5</v>
      </c>
      <c r="V252" s="1">
        <v>0.5</v>
      </c>
      <c r="W252" s="1">
        <v>1.0</v>
      </c>
      <c r="X252" s="1">
        <f t="array" ref="X252:AR252">XLOOKUP(MID(A252, SEARCH("+++", A252) + 3, LEN(A252)),'Defensive Data'!$A$2:$A$134,'Defensive Data'!$D$2:$X$134)</f>
        <v>15.4</v>
      </c>
      <c r="Y252" s="1">
        <v>28.6</v>
      </c>
      <c r="Z252" s="1">
        <v>53.8</v>
      </c>
      <c r="AA252" s="1">
        <v>172.5</v>
      </c>
      <c r="AB252" s="1">
        <v>1.2</v>
      </c>
      <c r="AC252" s="1">
        <v>31.7</v>
      </c>
      <c r="AD252" s="1">
        <v>112.2</v>
      </c>
      <c r="AE252" s="1">
        <v>3.5</v>
      </c>
      <c r="AF252" s="1">
        <v>0.8</v>
      </c>
      <c r="AG252" s="1">
        <v>60.3</v>
      </c>
      <c r="AH252" s="1">
        <v>284.6</v>
      </c>
      <c r="AI252" s="1">
        <v>4.7</v>
      </c>
      <c r="AJ252" s="1">
        <v>7.6</v>
      </c>
      <c r="AK252" s="1">
        <v>6.8</v>
      </c>
      <c r="AL252" s="1">
        <v>1.9</v>
      </c>
      <c r="AM252" s="1">
        <v>16.4</v>
      </c>
      <c r="AN252" s="1">
        <v>5.2</v>
      </c>
      <c r="AO252" s="1">
        <v>45.5</v>
      </c>
      <c r="AP252" s="1">
        <v>0.4</v>
      </c>
      <c r="AQ252" s="1">
        <v>0.7</v>
      </c>
      <c r="AR252" s="1">
        <v>1.1</v>
      </c>
    </row>
    <row r="253" ht="15.75" customHeight="1">
      <c r="A253" s="1" t="str">
        <f>CONCATENATE(Scores!A253,"+++",Scores!C253)</f>
        <v>Central Michigan+++Ball State</v>
      </c>
      <c r="B253" s="1">
        <f>Scores!B253</f>
        <v>37</v>
      </c>
      <c r="C253" s="1">
        <f t="array" ref="C253:W253">XLOOKUP(LEFT(A253,SEARCH("+",A253)-1),'Offensive Data'!$A$2:$A$134,'Offensive Data'!$D$2:$X$134)</f>
        <v>13.9</v>
      </c>
      <c r="D253" s="1">
        <v>25.2</v>
      </c>
      <c r="E253" s="1">
        <v>55.3</v>
      </c>
      <c r="F253" s="1">
        <v>163.4</v>
      </c>
      <c r="G253" s="1">
        <v>0.9</v>
      </c>
      <c r="H253" s="1">
        <v>37.3</v>
      </c>
      <c r="I253" s="1">
        <v>166.1</v>
      </c>
      <c r="J253" s="1">
        <v>4.5</v>
      </c>
      <c r="K253" s="1">
        <v>1.4</v>
      </c>
      <c r="L253" s="1">
        <v>62.4</v>
      </c>
      <c r="M253" s="1">
        <v>329.5</v>
      </c>
      <c r="N253" s="1">
        <v>5.3</v>
      </c>
      <c r="O253" s="1">
        <v>6.9</v>
      </c>
      <c r="P253" s="1">
        <v>8.8</v>
      </c>
      <c r="Q253" s="1">
        <v>2.3</v>
      </c>
      <c r="R253" s="1">
        <v>18.0</v>
      </c>
      <c r="S253" s="1">
        <v>6.8</v>
      </c>
      <c r="T253" s="1">
        <v>60.9</v>
      </c>
      <c r="U253" s="1">
        <v>0.8</v>
      </c>
      <c r="V253" s="1">
        <v>1.0</v>
      </c>
      <c r="W253" s="1">
        <v>1.8</v>
      </c>
      <c r="X253" s="1">
        <f t="array" ref="X253:AR253">XLOOKUP(MID(A253, SEARCH("+++", A253) + 3, LEN(A253)),'Defensive Data'!$A$2:$A$134,'Defensive Data'!$D$2:$X$134)</f>
        <v>19.4</v>
      </c>
      <c r="Y253" s="1">
        <v>31.3</v>
      </c>
      <c r="Z253" s="1">
        <v>62.0</v>
      </c>
      <c r="AA253" s="1">
        <v>279.6</v>
      </c>
      <c r="AB253" s="1">
        <v>3.1</v>
      </c>
      <c r="AC253" s="1">
        <v>33.7</v>
      </c>
      <c r="AD253" s="1">
        <v>175.3</v>
      </c>
      <c r="AE253" s="1">
        <v>5.2</v>
      </c>
      <c r="AF253" s="1">
        <v>2.0</v>
      </c>
      <c r="AG253" s="1">
        <v>65.0</v>
      </c>
      <c r="AH253" s="1">
        <v>454.9</v>
      </c>
      <c r="AI253" s="1">
        <v>7.0</v>
      </c>
      <c r="AJ253" s="1">
        <v>12.1</v>
      </c>
      <c r="AK253" s="1">
        <v>8.3</v>
      </c>
      <c r="AL253" s="1">
        <v>1.8</v>
      </c>
      <c r="AM253" s="1">
        <v>22.3</v>
      </c>
      <c r="AN253" s="1">
        <v>5.3</v>
      </c>
      <c r="AO253" s="1">
        <v>49.4</v>
      </c>
      <c r="AP253" s="1">
        <v>0.7</v>
      </c>
      <c r="AQ253" s="1">
        <v>0.7</v>
      </c>
      <c r="AR253" s="1">
        <v>1.3</v>
      </c>
    </row>
    <row r="254" ht="15.75" customHeight="1">
      <c r="A254" s="1" t="str">
        <f>CONCATENATE(Scores!A254,"+++",Scores!C254)</f>
        <v>Cincinnati+++Houston</v>
      </c>
      <c r="B254" s="1">
        <f>Scores!B254</f>
        <v>34</v>
      </c>
      <c r="C254" s="1">
        <f t="array" ref="C254:W254">XLOOKUP(LEFT(A254,SEARCH("+",A254)-1),'Offensive Data'!$A$2:$A$134,'Offensive Data'!$D$2:$X$134)</f>
        <v>21</v>
      </c>
      <c r="D254" s="1">
        <v>32.9</v>
      </c>
      <c r="E254" s="1">
        <v>63.8</v>
      </c>
      <c r="F254" s="1">
        <v>236.5</v>
      </c>
      <c r="G254" s="1">
        <v>1.5</v>
      </c>
      <c r="H254" s="1">
        <v>35.6</v>
      </c>
      <c r="I254" s="1">
        <v>184.1</v>
      </c>
      <c r="J254" s="1">
        <v>5.2</v>
      </c>
      <c r="K254" s="1">
        <v>1.6</v>
      </c>
      <c r="L254" s="1">
        <v>68.5</v>
      </c>
      <c r="M254" s="1">
        <v>420.6</v>
      </c>
      <c r="N254" s="1">
        <v>6.1</v>
      </c>
      <c r="O254" s="1">
        <v>11.7</v>
      </c>
      <c r="P254" s="1">
        <v>9.0</v>
      </c>
      <c r="Q254" s="1">
        <v>1.4</v>
      </c>
      <c r="R254" s="1">
        <v>22.1</v>
      </c>
      <c r="S254" s="1">
        <v>5.3</v>
      </c>
      <c r="T254" s="1">
        <v>44.4</v>
      </c>
      <c r="U254" s="1">
        <v>0.9</v>
      </c>
      <c r="V254" s="1">
        <v>0.6</v>
      </c>
      <c r="W254" s="1">
        <v>1.5</v>
      </c>
      <c r="X254" s="1">
        <f t="array" ref="X254:AR254">XLOOKUP(MID(A254, SEARCH("+++", A254) + 3, LEN(A254)),'Defensive Data'!$A$2:$A$134,'Defensive Data'!$D$2:$X$134)</f>
        <v>16.6</v>
      </c>
      <c r="Y254" s="1">
        <v>27.8</v>
      </c>
      <c r="Z254" s="1">
        <v>59.8</v>
      </c>
      <c r="AA254" s="1">
        <v>188.8</v>
      </c>
      <c r="AB254" s="1">
        <v>1.5</v>
      </c>
      <c r="AC254" s="1">
        <v>34.7</v>
      </c>
      <c r="AD254" s="1">
        <v>135.9</v>
      </c>
      <c r="AE254" s="1">
        <v>3.9</v>
      </c>
      <c r="AF254" s="1">
        <v>1.2</v>
      </c>
      <c r="AG254" s="1">
        <v>62.4</v>
      </c>
      <c r="AH254" s="1">
        <v>324.8</v>
      </c>
      <c r="AI254" s="1">
        <v>5.2</v>
      </c>
      <c r="AJ254" s="1">
        <v>8.6</v>
      </c>
      <c r="AK254" s="1">
        <v>7.5</v>
      </c>
      <c r="AL254" s="1">
        <v>1.8</v>
      </c>
      <c r="AM254" s="1">
        <v>17.8</v>
      </c>
      <c r="AN254" s="1">
        <v>4.5</v>
      </c>
      <c r="AO254" s="1">
        <v>42.3</v>
      </c>
      <c r="AP254" s="1">
        <v>0.6</v>
      </c>
      <c r="AQ254" s="1">
        <v>1.0</v>
      </c>
      <c r="AR254" s="1">
        <v>1.6</v>
      </c>
    </row>
    <row r="255" ht="15.75" customHeight="1">
      <c r="A255" s="1" t="str">
        <f>CONCATENATE(Scores!A255,"+++",Scores!C255)</f>
        <v>Clemson+++North Carolina State</v>
      </c>
      <c r="B255" s="1">
        <f>Scores!B255</f>
        <v>59</v>
      </c>
      <c r="C255" s="1">
        <f t="array" ref="C255:W255">XLOOKUP(LEFT(A255,SEARCH("+",A255)-1),'Offensive Data'!$A$2:$A$134,'Offensive Data'!$D$2:$X$134)</f>
        <v>23.6</v>
      </c>
      <c r="D255" s="1">
        <v>38.1</v>
      </c>
      <c r="E255" s="1">
        <v>62.1</v>
      </c>
      <c r="F255" s="1">
        <v>278.5</v>
      </c>
      <c r="G255" s="1">
        <v>2.6</v>
      </c>
      <c r="H255" s="1">
        <v>33.8</v>
      </c>
      <c r="I255" s="1">
        <v>173.4</v>
      </c>
      <c r="J255" s="1">
        <v>5.1</v>
      </c>
      <c r="K255" s="1">
        <v>1.6</v>
      </c>
      <c r="L255" s="1">
        <v>71.9</v>
      </c>
      <c r="M255" s="1">
        <v>451.9</v>
      </c>
      <c r="N255" s="1">
        <v>6.3</v>
      </c>
      <c r="O255" s="1">
        <v>12.1</v>
      </c>
      <c r="P255" s="1">
        <v>9.9</v>
      </c>
      <c r="Q255" s="1">
        <v>2.0</v>
      </c>
      <c r="R255" s="1">
        <v>24.1</v>
      </c>
      <c r="S255" s="1">
        <v>4.9</v>
      </c>
      <c r="T255" s="1">
        <v>47.6</v>
      </c>
      <c r="U255" s="1">
        <v>0.2</v>
      </c>
      <c r="V255" s="1">
        <v>0.5</v>
      </c>
      <c r="W255" s="1">
        <v>0.7</v>
      </c>
      <c r="X255" s="1">
        <f t="array" ref="X255:AR255">XLOOKUP(MID(A255, SEARCH("+++", A255) + 3, LEN(A255)),'Defensive Data'!$A$2:$A$134,'Defensive Data'!$D$2:$X$134)</f>
        <v>20.1</v>
      </c>
      <c r="Y255" s="1">
        <v>32.8</v>
      </c>
      <c r="Z255" s="1">
        <v>61.3</v>
      </c>
      <c r="AA255" s="1">
        <v>233.8</v>
      </c>
      <c r="AB255" s="1">
        <v>1.5</v>
      </c>
      <c r="AC255" s="1">
        <v>32.4</v>
      </c>
      <c r="AD255" s="1">
        <v>157.0</v>
      </c>
      <c r="AE255" s="1">
        <v>4.8</v>
      </c>
      <c r="AF255" s="1">
        <v>1.9</v>
      </c>
      <c r="AG255" s="1">
        <v>65.2</v>
      </c>
      <c r="AH255" s="1">
        <v>390.8</v>
      </c>
      <c r="AI255" s="1">
        <v>6.0</v>
      </c>
      <c r="AJ255" s="1">
        <v>10.2</v>
      </c>
      <c r="AK255" s="1">
        <v>7.7</v>
      </c>
      <c r="AL255" s="1">
        <v>1.5</v>
      </c>
      <c r="AM255" s="1">
        <v>19.5</v>
      </c>
      <c r="AN255" s="1">
        <v>6.2</v>
      </c>
      <c r="AO255" s="1">
        <v>55.2</v>
      </c>
      <c r="AP255" s="1">
        <v>0.8</v>
      </c>
      <c r="AQ255" s="1">
        <v>0.8</v>
      </c>
      <c r="AR255" s="1">
        <v>1.5</v>
      </c>
    </row>
    <row r="256" ht="15.75" customHeight="1">
      <c r="A256" s="1" t="str">
        <f>CONCATENATE(Scores!A256,"+++",Scores!C256)</f>
        <v>Colorado+++Baylor</v>
      </c>
      <c r="B256" s="1">
        <f>Scores!B256</f>
        <v>38</v>
      </c>
      <c r="C256" s="1">
        <f t="array" ref="C256:W256">XLOOKUP(LEFT(A256,SEARCH("+",A256)-1),'Offensive Data'!$A$2:$A$134,'Offensive Data'!$D$2:$X$134)</f>
        <v>27.2</v>
      </c>
      <c r="D256" s="1">
        <v>37.1</v>
      </c>
      <c r="E256" s="1">
        <v>73.2</v>
      </c>
      <c r="F256" s="1">
        <v>318.0</v>
      </c>
      <c r="G256" s="1">
        <v>2.8</v>
      </c>
      <c r="H256" s="1">
        <v>26.2</v>
      </c>
      <c r="I256" s="1">
        <v>65.2</v>
      </c>
      <c r="J256" s="1">
        <v>2.5</v>
      </c>
      <c r="K256" s="1">
        <v>1.2</v>
      </c>
      <c r="L256" s="1">
        <v>63.3</v>
      </c>
      <c r="M256" s="1">
        <v>383.2</v>
      </c>
      <c r="N256" s="1">
        <v>6.1</v>
      </c>
      <c r="O256" s="1">
        <v>13.2</v>
      </c>
      <c r="P256" s="1">
        <v>4.8</v>
      </c>
      <c r="Q256" s="1">
        <v>2.4</v>
      </c>
      <c r="R256" s="1">
        <v>20.4</v>
      </c>
      <c r="S256" s="1">
        <v>7.7</v>
      </c>
      <c r="T256" s="1">
        <v>67.8</v>
      </c>
      <c r="U256" s="1">
        <v>0.4</v>
      </c>
      <c r="V256" s="1">
        <v>0.8</v>
      </c>
      <c r="W256" s="1">
        <v>1.2</v>
      </c>
      <c r="X256" s="1">
        <f t="array" ref="X256:AR256">XLOOKUP(MID(A256, SEARCH("+++", A256) + 3, LEN(A256)),'Defensive Data'!$A$2:$A$134,'Defensive Data'!$D$2:$X$134)</f>
        <v>18.2</v>
      </c>
      <c r="Y256" s="1">
        <v>30.2</v>
      </c>
      <c r="Z256" s="1">
        <v>60.3</v>
      </c>
      <c r="AA256" s="1">
        <v>234.2</v>
      </c>
      <c r="AB256" s="1">
        <v>1.7</v>
      </c>
      <c r="AC256" s="1">
        <v>37.8</v>
      </c>
      <c r="AD256" s="1">
        <v>152.0</v>
      </c>
      <c r="AE256" s="1">
        <v>4.0</v>
      </c>
      <c r="AF256" s="1">
        <v>1.2</v>
      </c>
      <c r="AG256" s="1">
        <v>68.0</v>
      </c>
      <c r="AH256" s="1">
        <v>386.2</v>
      </c>
      <c r="AI256" s="1">
        <v>5.7</v>
      </c>
      <c r="AJ256" s="1">
        <v>10.3</v>
      </c>
      <c r="AK256" s="1">
        <v>8.0</v>
      </c>
      <c r="AL256" s="1">
        <v>2.2</v>
      </c>
      <c r="AM256" s="1">
        <v>20.5</v>
      </c>
      <c r="AN256" s="1">
        <v>5.6</v>
      </c>
      <c r="AO256" s="1">
        <v>49.8</v>
      </c>
      <c r="AP256" s="1">
        <v>0.5</v>
      </c>
      <c r="AQ256" s="1">
        <v>1.1</v>
      </c>
      <c r="AR256" s="1">
        <v>1.6</v>
      </c>
    </row>
    <row r="257" ht="15.75" customHeight="1">
      <c r="A257" s="1" t="str">
        <f>CONCATENATE(Scores!A257,"+++",Scores!C257)</f>
        <v>Colorado State+++Texas-El Paso</v>
      </c>
      <c r="B257" s="1">
        <f>Scores!B257</f>
        <v>27</v>
      </c>
      <c r="C257" s="1">
        <f t="array" ref="C257:W257">XLOOKUP(LEFT(A257,SEARCH("+",A257)-1),'Offensive Data'!$A$2:$A$134,'Offensive Data'!$D$2:$X$134)</f>
        <v>18.2</v>
      </c>
      <c r="D257" s="1">
        <v>30.0</v>
      </c>
      <c r="E257" s="1">
        <v>60.5</v>
      </c>
      <c r="F257" s="1">
        <v>219.5</v>
      </c>
      <c r="G257" s="1">
        <v>1.2</v>
      </c>
      <c r="H257" s="1">
        <v>35.6</v>
      </c>
      <c r="I257" s="1">
        <v>168.2</v>
      </c>
      <c r="J257" s="1">
        <v>4.7</v>
      </c>
      <c r="K257" s="1">
        <v>1.5</v>
      </c>
      <c r="L257" s="1">
        <v>65.6</v>
      </c>
      <c r="M257" s="1">
        <v>387.6</v>
      </c>
      <c r="N257" s="1">
        <v>5.9</v>
      </c>
      <c r="O257" s="1">
        <v>8.7</v>
      </c>
      <c r="P257" s="1">
        <v>7.9</v>
      </c>
      <c r="Q257" s="1">
        <v>1.3</v>
      </c>
      <c r="R257" s="1">
        <v>17.9</v>
      </c>
      <c r="S257" s="1">
        <v>6.5</v>
      </c>
      <c r="T257" s="1">
        <v>51.5</v>
      </c>
      <c r="U257" s="1">
        <v>0.8</v>
      </c>
      <c r="V257" s="1">
        <v>0.8</v>
      </c>
      <c r="W257" s="1">
        <v>1.5</v>
      </c>
      <c r="X257" s="1" t="str">
        <f t="array" ref="X257">XLOOKUP(MID(A257, SEARCH("+++", A257) + 3, LEN(A257)),'Defensive Data'!$A$2:$A$134,'Defensive Data'!$D$2:$X$134)</f>
        <v>#N/A</v>
      </c>
    </row>
    <row r="258" ht="15.75" customHeight="1">
      <c r="A258" s="1" t="str">
        <f>CONCATENATE(Scores!A258,"+++",Scores!C258)</f>
        <v>Connecticut+++Florida Atlantic</v>
      </c>
      <c r="B258" s="1">
        <f>Scores!B258</f>
        <v>48</v>
      </c>
      <c r="C258" s="1">
        <f t="array" ref="C258:W258">XLOOKUP(LEFT(A258,SEARCH("+",A258)-1),'Offensive Data'!$A$2:$A$134,'Offensive Data'!$D$2:$X$134)</f>
        <v>17.1</v>
      </c>
      <c r="D258" s="1">
        <v>30.5</v>
      </c>
      <c r="E258" s="1">
        <v>56.1</v>
      </c>
      <c r="F258" s="1">
        <v>198.4</v>
      </c>
      <c r="G258" s="1">
        <v>1.9</v>
      </c>
      <c r="H258" s="1">
        <v>39.7</v>
      </c>
      <c r="I258" s="1">
        <v>199.2</v>
      </c>
      <c r="J258" s="1">
        <v>5.0</v>
      </c>
      <c r="K258" s="1">
        <v>1.8</v>
      </c>
      <c r="L258" s="1">
        <v>70.2</v>
      </c>
      <c r="M258" s="1">
        <v>397.6</v>
      </c>
      <c r="N258" s="1">
        <v>5.7</v>
      </c>
      <c r="O258" s="1">
        <v>8.8</v>
      </c>
      <c r="P258" s="1">
        <v>9.3</v>
      </c>
      <c r="Q258" s="1">
        <v>2.5</v>
      </c>
      <c r="R258" s="1">
        <v>20.6</v>
      </c>
      <c r="S258" s="1">
        <v>5.3</v>
      </c>
      <c r="T258" s="1">
        <v>52.7</v>
      </c>
      <c r="U258" s="1">
        <v>0.5</v>
      </c>
      <c r="V258" s="1">
        <v>0.7</v>
      </c>
      <c r="W258" s="1">
        <v>1.2</v>
      </c>
      <c r="X258" s="1">
        <f t="array" ref="X258:AR258">XLOOKUP(MID(A258, SEARCH("+++", A258) + 3, LEN(A258)),'Defensive Data'!$A$2:$A$134,'Defensive Data'!$D$2:$X$134)</f>
        <v>17.6</v>
      </c>
      <c r="Y258" s="1">
        <v>31.5</v>
      </c>
      <c r="Z258" s="1">
        <v>55.8</v>
      </c>
      <c r="AA258" s="1">
        <v>233.2</v>
      </c>
      <c r="AB258" s="1">
        <v>2.1</v>
      </c>
      <c r="AC258" s="1">
        <v>37.5</v>
      </c>
      <c r="AD258" s="1">
        <v>183.5</v>
      </c>
      <c r="AE258" s="1">
        <v>4.9</v>
      </c>
      <c r="AF258" s="1">
        <v>1.5</v>
      </c>
      <c r="AG258" s="1">
        <v>69.0</v>
      </c>
      <c r="AH258" s="1">
        <v>416.7</v>
      </c>
      <c r="AI258" s="1">
        <v>6.0</v>
      </c>
      <c r="AJ258" s="1">
        <v>9.8</v>
      </c>
      <c r="AK258" s="1">
        <v>9.3</v>
      </c>
      <c r="AL258" s="1">
        <v>1.9</v>
      </c>
      <c r="AM258" s="1">
        <v>21.0</v>
      </c>
      <c r="AN258" s="1">
        <v>6.0</v>
      </c>
      <c r="AO258" s="1">
        <v>52.5</v>
      </c>
      <c r="AP258" s="1">
        <v>0.6</v>
      </c>
      <c r="AQ258" s="1">
        <v>0.9</v>
      </c>
      <c r="AR258" s="1">
        <v>1.5</v>
      </c>
    </row>
    <row r="259" ht="15.75" customHeight="1">
      <c r="A259" s="1" t="str">
        <f>CONCATENATE(Scores!A259,"+++",Scores!C259)</f>
        <v>Duke+++Middle Tennessee State</v>
      </c>
      <c r="B259" s="1">
        <f>Scores!B259</f>
        <v>45</v>
      </c>
      <c r="C259" s="1">
        <f t="array" ref="C259:W259">XLOOKUP(LEFT(A259,SEARCH("+",A259)-1),'Offensive Data'!$A$2:$A$134,'Offensive Data'!$D$2:$X$134)</f>
        <v>21.5</v>
      </c>
      <c r="D259" s="1">
        <v>35.9</v>
      </c>
      <c r="E259" s="1">
        <v>60.0</v>
      </c>
      <c r="F259" s="1">
        <v>244.3</v>
      </c>
      <c r="G259" s="1">
        <v>2.2</v>
      </c>
      <c r="H259" s="1">
        <v>29.3</v>
      </c>
      <c r="I259" s="1">
        <v>92.5</v>
      </c>
      <c r="J259" s="1">
        <v>3.2</v>
      </c>
      <c r="K259" s="1">
        <v>1.0</v>
      </c>
      <c r="L259" s="1">
        <v>65.2</v>
      </c>
      <c r="M259" s="1">
        <v>336.8</v>
      </c>
      <c r="N259" s="1">
        <v>5.2</v>
      </c>
      <c r="O259" s="1">
        <v>10.8</v>
      </c>
      <c r="P259" s="1">
        <v>4.6</v>
      </c>
      <c r="Q259" s="1">
        <v>2.2</v>
      </c>
      <c r="R259" s="1">
        <v>17.6</v>
      </c>
      <c r="S259" s="1">
        <v>5.2</v>
      </c>
      <c r="T259" s="1">
        <v>50.1</v>
      </c>
      <c r="U259" s="1">
        <v>0.5</v>
      </c>
      <c r="V259" s="1">
        <v>1.0</v>
      </c>
      <c r="W259" s="1">
        <v>1.5</v>
      </c>
      <c r="X259" s="1">
        <f t="array" ref="X259:AR259">XLOOKUP(MID(A259, SEARCH("+++", A259) + 3, LEN(A259)),'Defensive Data'!$A$2:$A$134,'Defensive Data'!$D$2:$X$134)</f>
        <v>19.3</v>
      </c>
      <c r="Y259" s="1">
        <v>28.6</v>
      </c>
      <c r="Z259" s="1">
        <v>67.3</v>
      </c>
      <c r="AA259" s="1">
        <v>252.2</v>
      </c>
      <c r="AB259" s="1">
        <v>2.3</v>
      </c>
      <c r="AC259" s="1">
        <v>38.8</v>
      </c>
      <c r="AD259" s="1">
        <v>197.0</v>
      </c>
      <c r="AE259" s="1">
        <v>5.1</v>
      </c>
      <c r="AF259" s="1">
        <v>2.2</v>
      </c>
      <c r="AG259" s="1">
        <v>67.3</v>
      </c>
      <c r="AH259" s="1">
        <v>449.2</v>
      </c>
      <c r="AI259" s="1">
        <v>6.7</v>
      </c>
      <c r="AJ259" s="1">
        <v>11.6</v>
      </c>
      <c r="AK259" s="1">
        <v>10.3</v>
      </c>
      <c r="AL259" s="1">
        <v>1.5</v>
      </c>
      <c r="AM259" s="1">
        <v>23.4</v>
      </c>
      <c r="AN259" s="1">
        <v>5.5</v>
      </c>
      <c r="AO259" s="1">
        <v>50.9</v>
      </c>
      <c r="AP259" s="1">
        <v>0.4</v>
      </c>
      <c r="AQ259" s="1">
        <v>0.4</v>
      </c>
      <c r="AR259" s="1">
        <v>0.8</v>
      </c>
    </row>
    <row r="260" ht="15.75" customHeight="1">
      <c r="A260" s="1" t="str">
        <f>CONCATENATE(Scores!A260,"+++",Scores!C260)</f>
        <v>Eastern Michigan+++St. Francis (PA)</v>
      </c>
      <c r="B260" s="1">
        <f>Scores!B260</f>
        <v>36</v>
      </c>
      <c r="C260" s="1">
        <f t="array" ref="C260:W260">XLOOKUP(LEFT(A260,SEARCH("+",A260)-1),'Offensive Data'!$A$2:$A$134,'Offensive Data'!$D$2:$X$134)</f>
        <v>20.8</v>
      </c>
      <c r="D260" s="1">
        <v>34.7</v>
      </c>
      <c r="E260" s="1">
        <v>59.9</v>
      </c>
      <c r="F260" s="1">
        <v>236.0</v>
      </c>
      <c r="G260" s="1">
        <v>1.4</v>
      </c>
      <c r="H260" s="1">
        <v>39.8</v>
      </c>
      <c r="I260" s="1">
        <v>141.8</v>
      </c>
      <c r="J260" s="1">
        <v>3.6</v>
      </c>
      <c r="K260" s="1">
        <v>1.4</v>
      </c>
      <c r="L260" s="1">
        <v>74.4</v>
      </c>
      <c r="M260" s="1">
        <v>377.8</v>
      </c>
      <c r="N260" s="1">
        <v>5.1</v>
      </c>
      <c r="O260" s="1">
        <v>10.8</v>
      </c>
      <c r="P260" s="1">
        <v>8.5</v>
      </c>
      <c r="Q260" s="1">
        <v>2.3</v>
      </c>
      <c r="R260" s="1">
        <v>21.5</v>
      </c>
      <c r="S260" s="1">
        <v>6.4</v>
      </c>
      <c r="T260" s="1">
        <v>62.0</v>
      </c>
      <c r="U260" s="1">
        <v>0.6</v>
      </c>
      <c r="V260" s="1">
        <v>0.8</v>
      </c>
      <c r="W260" s="1">
        <v>1.4</v>
      </c>
      <c r="X260" s="1" t="str">
        <f t="array" ref="X260">XLOOKUP(MID(A260, SEARCH("+++", A260) + 3, LEN(A260)),'Defensive Data'!$A$2:$A$134,'Defensive Data'!$D$2:$X$134)</f>
        <v>#N/A</v>
      </c>
    </row>
    <row r="261" ht="15.75" customHeight="1">
      <c r="A261" s="1" t="str">
        <f>CONCATENATE(Scores!A261,"+++",Scores!C261)</f>
        <v>Florida+++Mississippi State</v>
      </c>
      <c r="B261" s="1">
        <f>Scores!B261</f>
        <v>45</v>
      </c>
      <c r="C261" s="1">
        <f t="array" ref="C261:W261">XLOOKUP(LEFT(A261,SEARCH("+",A261)-1),'Offensive Data'!$A$2:$A$134,'Offensive Data'!$D$2:$X$134)</f>
        <v>16</v>
      </c>
      <c r="D261" s="1">
        <v>26.3</v>
      </c>
      <c r="E261" s="1">
        <v>60.8</v>
      </c>
      <c r="F261" s="1">
        <v>225.7</v>
      </c>
      <c r="G261" s="1">
        <v>1.4</v>
      </c>
      <c r="H261" s="1">
        <v>35.5</v>
      </c>
      <c r="I261" s="1">
        <v>161.2</v>
      </c>
      <c r="J261" s="1">
        <v>4.5</v>
      </c>
      <c r="K261" s="1">
        <v>2.0</v>
      </c>
      <c r="L261" s="1">
        <v>61.8</v>
      </c>
      <c r="M261" s="1">
        <v>386.9</v>
      </c>
      <c r="N261" s="1">
        <v>6.3</v>
      </c>
      <c r="O261" s="1">
        <v>9.2</v>
      </c>
      <c r="P261" s="1">
        <v>8.7</v>
      </c>
      <c r="Q261" s="1">
        <v>1.4</v>
      </c>
      <c r="R261" s="1">
        <v>19.2</v>
      </c>
      <c r="S261" s="1">
        <v>5.9</v>
      </c>
      <c r="T261" s="1">
        <v>54.0</v>
      </c>
      <c r="U261" s="1">
        <v>0.4</v>
      </c>
      <c r="V261" s="1">
        <v>1.1</v>
      </c>
      <c r="W261" s="1">
        <v>1.5</v>
      </c>
      <c r="X261" s="1">
        <f t="array" ref="X261:AR261">XLOOKUP(MID(A261, SEARCH("+++", A261) + 3, LEN(A261)),'Defensive Data'!$A$2:$A$134,'Defensive Data'!$D$2:$X$134)</f>
        <v>20</v>
      </c>
      <c r="Y261" s="1">
        <v>28.4</v>
      </c>
      <c r="Z261" s="1">
        <v>70.4</v>
      </c>
      <c r="AA261" s="1">
        <v>239.5</v>
      </c>
      <c r="AB261" s="1">
        <v>1.9</v>
      </c>
      <c r="AC261" s="1">
        <v>43.6</v>
      </c>
      <c r="AD261" s="1">
        <v>216.9</v>
      </c>
      <c r="AE261" s="1">
        <v>5.0</v>
      </c>
      <c r="AF261" s="1">
        <v>2.0</v>
      </c>
      <c r="AG261" s="1">
        <v>72.0</v>
      </c>
      <c r="AH261" s="1">
        <v>456.4</v>
      </c>
      <c r="AI261" s="1">
        <v>6.3</v>
      </c>
      <c r="AJ261" s="1">
        <v>11.3</v>
      </c>
      <c r="AK261" s="1">
        <v>10.8</v>
      </c>
      <c r="AL261" s="1">
        <v>1.8</v>
      </c>
      <c r="AM261" s="1">
        <v>23.8</v>
      </c>
      <c r="AN261" s="1">
        <v>6.3</v>
      </c>
      <c r="AO261" s="1">
        <v>58.8</v>
      </c>
      <c r="AP261" s="1">
        <v>0.4</v>
      </c>
      <c r="AQ261" s="1">
        <v>0.6</v>
      </c>
      <c r="AR261" s="1">
        <v>1.0</v>
      </c>
    </row>
    <row r="262" ht="15.75" customHeight="1">
      <c r="A262" s="1" t="str">
        <f>CONCATENATE(Scores!A262,"+++",Scores!C262)</f>
        <v>Florida State+++California</v>
      </c>
      <c r="B262" s="1">
        <f>Scores!B262</f>
        <v>14</v>
      </c>
      <c r="C262" s="1">
        <f t="array" ref="C262:W262">XLOOKUP(LEFT(A262,SEARCH("+",A262)-1),'Offensive Data'!$A$2:$A$134,'Offensive Data'!$D$2:$X$134)</f>
        <v>14.9</v>
      </c>
      <c r="D262" s="1">
        <v>29.6</v>
      </c>
      <c r="E262" s="1">
        <v>50.4</v>
      </c>
      <c r="F262" s="1">
        <v>180.3</v>
      </c>
      <c r="G262" s="1">
        <v>0.9</v>
      </c>
      <c r="H262" s="1">
        <v>31.5</v>
      </c>
      <c r="I262" s="1">
        <v>89.9</v>
      </c>
      <c r="J262" s="1">
        <v>2.9</v>
      </c>
      <c r="K262" s="1">
        <v>0.7</v>
      </c>
      <c r="L262" s="1">
        <v>61.1</v>
      </c>
      <c r="M262" s="1">
        <v>270.3</v>
      </c>
      <c r="N262" s="1">
        <v>4.4</v>
      </c>
      <c r="O262" s="1">
        <v>8.6</v>
      </c>
      <c r="P262" s="1">
        <v>5.3</v>
      </c>
      <c r="Q262" s="1">
        <v>1.3</v>
      </c>
      <c r="R262" s="1">
        <v>15.2</v>
      </c>
      <c r="S262" s="1">
        <v>5.6</v>
      </c>
      <c r="T262" s="1">
        <v>47.9</v>
      </c>
      <c r="U262" s="1">
        <v>0.8</v>
      </c>
      <c r="V262" s="1">
        <v>1.1</v>
      </c>
      <c r="W262" s="1">
        <v>1.8</v>
      </c>
      <c r="X262" s="1">
        <f t="array" ref="X262:AR262">XLOOKUP(MID(A262, SEARCH("+++", A262) + 3, LEN(A262)),'Defensive Data'!$A$2:$A$134,'Defensive Data'!$D$2:$X$134)</f>
        <v>19.2</v>
      </c>
      <c r="Y262" s="1">
        <v>34.0</v>
      </c>
      <c r="Z262" s="1">
        <v>56.6</v>
      </c>
      <c r="AA262" s="1">
        <v>227.6</v>
      </c>
      <c r="AB262" s="1">
        <v>1.3</v>
      </c>
      <c r="AC262" s="1">
        <v>33.6</v>
      </c>
      <c r="AD262" s="1">
        <v>109.8</v>
      </c>
      <c r="AE262" s="1">
        <v>3.3</v>
      </c>
      <c r="AF262" s="1">
        <v>1.5</v>
      </c>
      <c r="AG262" s="1">
        <v>67.6</v>
      </c>
      <c r="AH262" s="1">
        <v>337.5</v>
      </c>
      <c r="AI262" s="1">
        <v>5.0</v>
      </c>
      <c r="AJ262" s="1">
        <v>10.8</v>
      </c>
      <c r="AK262" s="1">
        <v>5.7</v>
      </c>
      <c r="AL262" s="1">
        <v>1.8</v>
      </c>
      <c r="AM262" s="1">
        <v>18.3</v>
      </c>
      <c r="AN262" s="1">
        <v>6.6</v>
      </c>
      <c r="AO262" s="1">
        <v>60.3</v>
      </c>
      <c r="AP262" s="1">
        <v>0.4</v>
      </c>
      <c r="AQ262" s="1">
        <v>1.3</v>
      </c>
      <c r="AR262" s="1">
        <v>1.7</v>
      </c>
    </row>
    <row r="263" ht="15.75" customHeight="1">
      <c r="A263" s="1" t="str">
        <f>CONCATENATE(Scores!A263,"+++",Scores!C263)</f>
        <v>Fresno State+++New Mexico</v>
      </c>
      <c r="B263" s="1">
        <f>Scores!B263</f>
        <v>38</v>
      </c>
      <c r="C263" s="1">
        <f t="array" ref="C263:W263">XLOOKUP(LEFT(A263,SEARCH("+",A263)-1),'Offensive Data'!$A$2:$A$134,'Offensive Data'!$D$2:$X$134)</f>
        <v>23.1</v>
      </c>
      <c r="D263" s="1">
        <v>33.2</v>
      </c>
      <c r="E263" s="1">
        <v>69.4</v>
      </c>
      <c r="F263" s="1">
        <v>242.5</v>
      </c>
      <c r="G263" s="1">
        <v>1.5</v>
      </c>
      <c r="H263" s="1">
        <v>29.5</v>
      </c>
      <c r="I263" s="1">
        <v>98.2</v>
      </c>
      <c r="J263" s="1">
        <v>3.3</v>
      </c>
      <c r="K263" s="1">
        <v>1.6</v>
      </c>
      <c r="L263" s="1">
        <v>62.7</v>
      </c>
      <c r="M263" s="1">
        <v>340.6</v>
      </c>
      <c r="N263" s="1">
        <v>5.4</v>
      </c>
      <c r="O263" s="1">
        <v>10.8</v>
      </c>
      <c r="P263" s="1">
        <v>5.6</v>
      </c>
      <c r="Q263" s="1">
        <v>2.4</v>
      </c>
      <c r="R263" s="1">
        <v>18.8</v>
      </c>
      <c r="S263" s="1">
        <v>6.2</v>
      </c>
      <c r="T263" s="1">
        <v>54.7</v>
      </c>
      <c r="U263" s="1">
        <v>0.2</v>
      </c>
      <c r="V263" s="1">
        <v>1.1</v>
      </c>
      <c r="W263" s="1">
        <v>1.3</v>
      </c>
      <c r="X263" s="1">
        <f t="array" ref="X263:AR263">XLOOKUP(MID(A263, SEARCH("+++", A263) + 3, LEN(A263)),'Defensive Data'!$A$2:$A$134,'Defensive Data'!$D$2:$X$134)</f>
        <v>21.3</v>
      </c>
      <c r="Y263" s="1">
        <v>33.0</v>
      </c>
      <c r="Z263" s="1">
        <v>64.6</v>
      </c>
      <c r="AA263" s="1">
        <v>279.2</v>
      </c>
      <c r="AB263" s="1">
        <v>2.5</v>
      </c>
      <c r="AC263" s="1">
        <v>39.3</v>
      </c>
      <c r="AD263" s="1">
        <v>212.9</v>
      </c>
      <c r="AE263" s="1">
        <v>5.4</v>
      </c>
      <c r="AF263" s="1">
        <v>2.3</v>
      </c>
      <c r="AG263" s="1">
        <v>72.3</v>
      </c>
      <c r="AH263" s="1">
        <v>492.1</v>
      </c>
      <c r="AI263" s="1">
        <v>6.8</v>
      </c>
      <c r="AJ263" s="1">
        <v>11.7</v>
      </c>
      <c r="AK263" s="1">
        <v>10.6</v>
      </c>
      <c r="AL263" s="1">
        <v>2.4</v>
      </c>
      <c r="AM263" s="1">
        <v>24.7</v>
      </c>
      <c r="AN263" s="1">
        <v>7.0</v>
      </c>
      <c r="AO263" s="1">
        <v>65.4</v>
      </c>
      <c r="AP263" s="1">
        <v>0.6</v>
      </c>
      <c r="AQ263" s="1">
        <v>0.3</v>
      </c>
      <c r="AR263" s="1">
        <v>0.8</v>
      </c>
    </row>
    <row r="264" ht="15.75" customHeight="1">
      <c r="A264" s="1" t="str">
        <f>CONCATENATE(Scores!A264,"+++",Scores!C264)</f>
        <v>Indiana+++Charlotte</v>
      </c>
      <c r="B264" s="1">
        <f>Scores!B264</f>
        <v>52</v>
      </c>
      <c r="C264" s="1">
        <f t="array" ref="C264:W264">XLOOKUP(LEFT(A264,SEARCH("+",A264)-1),'Offensive Data'!$A$2:$A$134,'Offensive Data'!$D$2:$X$134)</f>
        <v>18.9</v>
      </c>
      <c r="D264" s="1">
        <v>27.8</v>
      </c>
      <c r="E264" s="1">
        <v>68.1</v>
      </c>
      <c r="F264" s="1">
        <v>261.3</v>
      </c>
      <c r="G264" s="1">
        <v>2.5</v>
      </c>
      <c r="H264" s="1">
        <v>37.8</v>
      </c>
      <c r="I264" s="1">
        <v>165.1</v>
      </c>
      <c r="J264" s="1">
        <v>4.4</v>
      </c>
      <c r="K264" s="1">
        <v>2.8</v>
      </c>
      <c r="L264" s="1">
        <v>65.5</v>
      </c>
      <c r="M264" s="1">
        <v>426.4</v>
      </c>
      <c r="N264" s="1">
        <v>6.5</v>
      </c>
      <c r="O264" s="1">
        <v>11.9</v>
      </c>
      <c r="P264" s="1">
        <v>10.0</v>
      </c>
      <c r="Q264" s="1">
        <v>1.6</v>
      </c>
      <c r="R264" s="1">
        <v>23.5</v>
      </c>
      <c r="S264" s="1">
        <v>4.8</v>
      </c>
      <c r="T264" s="1">
        <v>43.9</v>
      </c>
      <c r="U264" s="1">
        <v>0.2</v>
      </c>
      <c r="V264" s="1">
        <v>0.5</v>
      </c>
      <c r="W264" s="1">
        <v>0.7</v>
      </c>
      <c r="X264" s="1">
        <f t="array" ref="X264:AR264">XLOOKUP(MID(A264, SEARCH("+++", A264) + 3, LEN(A264)),'Defensive Data'!$A$2:$A$134,'Defensive Data'!$D$2:$X$134)</f>
        <v>17.2</v>
      </c>
      <c r="Y264" s="1">
        <v>28.6</v>
      </c>
      <c r="Z264" s="1">
        <v>60.1</v>
      </c>
      <c r="AA264" s="1">
        <v>222.8</v>
      </c>
      <c r="AB264" s="1">
        <v>1.5</v>
      </c>
      <c r="AC264" s="1">
        <v>40.3</v>
      </c>
      <c r="AD264" s="1">
        <v>210.3</v>
      </c>
      <c r="AE264" s="1">
        <v>5.2</v>
      </c>
      <c r="AF264" s="1">
        <v>2.4</v>
      </c>
      <c r="AG264" s="1">
        <v>68.8</v>
      </c>
      <c r="AH264" s="1">
        <v>433.2</v>
      </c>
      <c r="AI264" s="1">
        <v>6.3</v>
      </c>
      <c r="AJ264" s="1">
        <v>9.2</v>
      </c>
      <c r="AK264" s="1">
        <v>11.5</v>
      </c>
      <c r="AL264" s="1">
        <v>2.4</v>
      </c>
      <c r="AM264" s="1">
        <v>23.1</v>
      </c>
      <c r="AN264" s="1">
        <v>6.6</v>
      </c>
      <c r="AO264" s="1">
        <v>56.8</v>
      </c>
      <c r="AP264" s="1">
        <v>0.2</v>
      </c>
      <c r="AQ264" s="1">
        <v>0.8</v>
      </c>
      <c r="AR264" s="1">
        <v>1.0</v>
      </c>
    </row>
    <row r="265" ht="15.75" customHeight="1">
      <c r="A265" s="1" t="str">
        <f>CONCATENATE(Scores!A265,"+++",Scores!C265)</f>
        <v>Iowa+++Minnesota</v>
      </c>
      <c r="B265" s="1">
        <f>Scores!B265</f>
        <v>31</v>
      </c>
      <c r="C265" s="1">
        <f t="array" ref="C265:W265">XLOOKUP(LEFT(A265,SEARCH("+",A265)-1),'Offensive Data'!$A$2:$A$134,'Offensive Data'!$D$2:$X$134)</f>
        <v>12.5</v>
      </c>
      <c r="D265" s="1">
        <v>20.0</v>
      </c>
      <c r="E265" s="1">
        <v>62.7</v>
      </c>
      <c r="F265" s="1">
        <v>131.6</v>
      </c>
      <c r="G265" s="1">
        <v>0.8</v>
      </c>
      <c r="H265" s="1">
        <v>38.5</v>
      </c>
      <c r="I265" s="1">
        <v>197.2</v>
      </c>
      <c r="J265" s="1">
        <v>5.1</v>
      </c>
      <c r="K265" s="1">
        <v>2.3</v>
      </c>
      <c r="L265" s="1">
        <v>58.5</v>
      </c>
      <c r="M265" s="1">
        <v>328.8</v>
      </c>
      <c r="N265" s="1">
        <v>5.6</v>
      </c>
      <c r="O265" s="1">
        <v>6.3</v>
      </c>
      <c r="P265" s="1">
        <v>9.0</v>
      </c>
      <c r="Q265" s="1">
        <v>1.4</v>
      </c>
      <c r="R265" s="1">
        <v>16.7</v>
      </c>
      <c r="S265" s="1">
        <v>3.2</v>
      </c>
      <c r="T265" s="1">
        <v>29.8</v>
      </c>
      <c r="U265" s="1">
        <v>0.3</v>
      </c>
      <c r="V265" s="1">
        <v>0.6</v>
      </c>
      <c r="W265" s="1">
        <v>0.9</v>
      </c>
      <c r="X265" s="1">
        <f t="array" ref="X265:AR265">XLOOKUP(MID(A265, SEARCH("+++", A265) + 3, LEN(A265)),'Defensive Data'!$A$2:$A$134,'Defensive Data'!$D$2:$X$134)</f>
        <v>16.9</v>
      </c>
      <c r="Y265" s="1">
        <v>28.7</v>
      </c>
      <c r="Z265" s="1">
        <v>59.0</v>
      </c>
      <c r="AA265" s="1">
        <v>176.1</v>
      </c>
      <c r="AB265" s="1">
        <v>0.8</v>
      </c>
      <c r="AC265" s="1">
        <v>31.3</v>
      </c>
      <c r="AD265" s="1">
        <v>109.6</v>
      </c>
      <c r="AE265" s="1">
        <v>3.5</v>
      </c>
      <c r="AF265" s="1">
        <v>1.1</v>
      </c>
      <c r="AG265" s="1">
        <v>60.0</v>
      </c>
      <c r="AH265" s="1">
        <v>285.7</v>
      </c>
      <c r="AI265" s="1">
        <v>4.8</v>
      </c>
      <c r="AJ265" s="1">
        <v>8.5</v>
      </c>
      <c r="AK265" s="1">
        <v>5.9</v>
      </c>
      <c r="AL265" s="1">
        <v>1.5</v>
      </c>
      <c r="AM265" s="1">
        <v>16.0</v>
      </c>
      <c r="AN265" s="1">
        <v>5.0</v>
      </c>
      <c r="AO265" s="1">
        <v>49.1</v>
      </c>
      <c r="AP265" s="1">
        <v>0.3</v>
      </c>
      <c r="AQ265" s="1">
        <v>1.3</v>
      </c>
      <c r="AR265" s="1">
        <v>1.6</v>
      </c>
    </row>
    <row r="266" ht="15.75" customHeight="1">
      <c r="A266" s="1" t="str">
        <f>CONCATENATE(Scores!A266,"+++",Scores!C266)</f>
        <v>Iowa State+++Arkansas State</v>
      </c>
      <c r="B266" s="1">
        <f>Scores!B266</f>
        <v>52</v>
      </c>
      <c r="C266" s="1">
        <f t="array" ref="C266:W266">XLOOKUP(LEFT(A266,SEARCH("+",A266)-1),'Offensive Data'!$A$2:$A$134,'Offensive Data'!$D$2:$X$134)</f>
        <v>19.8</v>
      </c>
      <c r="D266" s="1">
        <v>33.8</v>
      </c>
      <c r="E266" s="1">
        <v>58.6</v>
      </c>
      <c r="F266" s="1">
        <v>255.7</v>
      </c>
      <c r="G266" s="1">
        <v>1.8</v>
      </c>
      <c r="H266" s="1">
        <v>36.9</v>
      </c>
      <c r="I266" s="1">
        <v>160.5</v>
      </c>
      <c r="J266" s="1">
        <v>4.4</v>
      </c>
      <c r="K266" s="1">
        <v>1.9</v>
      </c>
      <c r="L266" s="1">
        <v>70.6</v>
      </c>
      <c r="M266" s="1">
        <v>416.2</v>
      </c>
      <c r="N266" s="1">
        <v>5.9</v>
      </c>
      <c r="O266" s="1">
        <v>11.4</v>
      </c>
      <c r="P266" s="1">
        <v>8.7</v>
      </c>
      <c r="Q266" s="1">
        <v>2.5</v>
      </c>
      <c r="R266" s="1">
        <v>22.6</v>
      </c>
      <c r="S266" s="1">
        <v>3.8</v>
      </c>
      <c r="T266" s="1">
        <v>28.0</v>
      </c>
      <c r="U266" s="1">
        <v>0.4</v>
      </c>
      <c r="V266" s="1">
        <v>0.7</v>
      </c>
      <c r="W266" s="1">
        <v>1.1</v>
      </c>
      <c r="X266" s="1">
        <f t="array" ref="X266:AR266">XLOOKUP(MID(A266, SEARCH("+++", A266) + 3, LEN(A266)),'Defensive Data'!$A$2:$A$134,'Defensive Data'!$D$2:$X$134)</f>
        <v>18.8</v>
      </c>
      <c r="Y266" s="1">
        <v>29.9</v>
      </c>
      <c r="Z266" s="1">
        <v>63.0</v>
      </c>
      <c r="AA266" s="1">
        <v>250.1</v>
      </c>
      <c r="AB266" s="1">
        <v>1.8</v>
      </c>
      <c r="AC266" s="1">
        <v>37.2</v>
      </c>
      <c r="AD266" s="1">
        <v>211.7</v>
      </c>
      <c r="AE266" s="1">
        <v>5.7</v>
      </c>
      <c r="AF266" s="1">
        <v>2.5</v>
      </c>
      <c r="AG266" s="1">
        <v>67.1</v>
      </c>
      <c r="AH266" s="1">
        <v>461.8</v>
      </c>
      <c r="AI266" s="1">
        <v>6.9</v>
      </c>
      <c r="AJ266" s="1">
        <v>10.6</v>
      </c>
      <c r="AK266" s="1">
        <v>10.4</v>
      </c>
      <c r="AL266" s="1">
        <v>1.8</v>
      </c>
      <c r="AM266" s="1">
        <v>22.8</v>
      </c>
      <c r="AN266" s="1">
        <v>7.2</v>
      </c>
      <c r="AO266" s="1">
        <v>58.6</v>
      </c>
      <c r="AP266" s="1">
        <v>0.5</v>
      </c>
      <c r="AQ266" s="1">
        <v>1.1</v>
      </c>
      <c r="AR266" s="1">
        <v>1.5</v>
      </c>
    </row>
    <row r="267" ht="15.75" customHeight="1">
      <c r="A267" s="1" t="str">
        <f>CONCATENATE(Scores!A267,"+++",Scores!C267)</f>
        <v>Jacksonville State+++Southern Mississippi</v>
      </c>
      <c r="B267" s="1">
        <f>Scores!B267</f>
        <v>44</v>
      </c>
      <c r="C267" s="1">
        <f t="array" ref="C267:W267">XLOOKUP(LEFT(A267,SEARCH("+",A267)-1),'Offensive Data'!$A$2:$A$134,'Offensive Data'!$D$2:$X$134)</f>
        <v>13.5</v>
      </c>
      <c r="D267" s="1">
        <v>22.4</v>
      </c>
      <c r="E267" s="1">
        <v>60.2</v>
      </c>
      <c r="F267" s="1">
        <v>190.4</v>
      </c>
      <c r="G267" s="1">
        <v>1.0</v>
      </c>
      <c r="H267" s="1">
        <v>46.1</v>
      </c>
      <c r="I267" s="1">
        <v>251.2</v>
      </c>
      <c r="J267" s="1">
        <v>5.4</v>
      </c>
      <c r="K267" s="1">
        <v>3.6</v>
      </c>
      <c r="L267" s="1">
        <v>68.6</v>
      </c>
      <c r="M267" s="1">
        <v>441.6</v>
      </c>
      <c r="N267" s="1">
        <v>6.4</v>
      </c>
      <c r="O267" s="1">
        <v>7.6</v>
      </c>
      <c r="P267" s="1">
        <v>12.8</v>
      </c>
      <c r="Q267" s="1">
        <v>2.4</v>
      </c>
      <c r="R267" s="1">
        <v>22.7</v>
      </c>
      <c r="S267" s="1">
        <v>5.9</v>
      </c>
      <c r="T267" s="1">
        <v>57.7</v>
      </c>
      <c r="U267" s="1">
        <v>0.6</v>
      </c>
      <c r="V267" s="1">
        <v>0.5</v>
      </c>
      <c r="W267" s="1">
        <v>1.1</v>
      </c>
      <c r="X267" s="1">
        <f t="array" ref="X267:AR267">XLOOKUP(MID(A267, SEARCH("+++", A267) + 3, LEN(A267)),'Defensive Data'!$A$2:$A$134,'Defensive Data'!$D$2:$X$134)</f>
        <v>17.4</v>
      </c>
      <c r="Y267" s="1">
        <v>26.8</v>
      </c>
      <c r="Z267" s="1">
        <v>65.1</v>
      </c>
      <c r="AA267" s="1">
        <v>216.5</v>
      </c>
      <c r="AB267" s="1">
        <v>2.0</v>
      </c>
      <c r="AC267" s="1">
        <v>39.5</v>
      </c>
      <c r="AD267" s="1">
        <v>232.7</v>
      </c>
      <c r="AE267" s="1">
        <v>5.9</v>
      </c>
      <c r="AF267" s="1">
        <v>2.6</v>
      </c>
      <c r="AG267" s="1">
        <v>66.3</v>
      </c>
      <c r="AH267" s="1">
        <v>449.2</v>
      </c>
      <c r="AI267" s="1">
        <v>6.8</v>
      </c>
      <c r="AJ267" s="1">
        <v>9.7</v>
      </c>
      <c r="AK267" s="1">
        <v>10.9</v>
      </c>
      <c r="AL267" s="1">
        <v>1.2</v>
      </c>
      <c r="AM267" s="1">
        <v>21.8</v>
      </c>
      <c r="AN267" s="1">
        <v>6.2</v>
      </c>
      <c r="AO267" s="1">
        <v>54.9</v>
      </c>
      <c r="AP267" s="1">
        <v>0.3</v>
      </c>
      <c r="AQ267" s="1">
        <v>0.5</v>
      </c>
      <c r="AR267" s="1">
        <v>0.8</v>
      </c>
    </row>
    <row r="268" ht="15.75" customHeight="1">
      <c r="A268" s="1" t="str">
        <f>CONCATENATE(Scores!A268,"+++",Scores!C268)</f>
        <v>James Madison+++North Carolina</v>
      </c>
      <c r="B268" s="1">
        <f>Scores!B268</f>
        <v>70</v>
      </c>
      <c r="C268" s="1">
        <f t="array" ref="C268:W268">XLOOKUP(LEFT(A268,SEARCH("+",A268)-1),'Offensive Data'!$A$2:$A$134,'Offensive Data'!$D$2:$X$134)</f>
        <v>17.8</v>
      </c>
      <c r="D268" s="1">
        <v>29.4</v>
      </c>
      <c r="E268" s="1">
        <v>60.7</v>
      </c>
      <c r="F268" s="1">
        <v>216.1</v>
      </c>
      <c r="G268" s="1">
        <v>2.2</v>
      </c>
      <c r="H268" s="1">
        <v>40.0</v>
      </c>
      <c r="I268" s="1">
        <v>191.5</v>
      </c>
      <c r="J268" s="1">
        <v>4.8</v>
      </c>
      <c r="K268" s="1">
        <v>1.5</v>
      </c>
      <c r="L268" s="1">
        <v>69.4</v>
      </c>
      <c r="M268" s="1">
        <v>407.6</v>
      </c>
      <c r="N268" s="1">
        <v>5.9</v>
      </c>
      <c r="O268" s="1">
        <v>9.4</v>
      </c>
      <c r="P268" s="1">
        <v>10.0</v>
      </c>
      <c r="Q268" s="1">
        <v>1.3</v>
      </c>
      <c r="R268" s="1">
        <v>20.7</v>
      </c>
      <c r="S268" s="1">
        <v>7.0</v>
      </c>
      <c r="T268" s="1">
        <v>54.5</v>
      </c>
      <c r="U268" s="1">
        <v>0.4</v>
      </c>
      <c r="V268" s="1">
        <v>0.3</v>
      </c>
      <c r="W268" s="1">
        <v>0.7</v>
      </c>
      <c r="X268" s="1">
        <f t="array" ref="X268:AR268">XLOOKUP(MID(A268, SEARCH("+++", A268) + 3, LEN(A268)),'Defensive Data'!$A$2:$A$134,'Defensive Data'!$D$2:$X$134)</f>
        <v>16.7</v>
      </c>
      <c r="Y268" s="1">
        <v>28.8</v>
      </c>
      <c r="Z268" s="1">
        <v>58.0</v>
      </c>
      <c r="AA268" s="1">
        <v>226.3</v>
      </c>
      <c r="AB268" s="1">
        <v>1.5</v>
      </c>
      <c r="AC268" s="1">
        <v>37.9</v>
      </c>
      <c r="AD268" s="1">
        <v>149.5</v>
      </c>
      <c r="AE268" s="1">
        <v>3.9</v>
      </c>
      <c r="AF268" s="1">
        <v>1.6</v>
      </c>
      <c r="AG268" s="1">
        <v>66.7</v>
      </c>
      <c r="AH268" s="1">
        <v>375.8</v>
      </c>
      <c r="AI268" s="1">
        <v>5.6</v>
      </c>
      <c r="AJ268" s="1">
        <v>8.5</v>
      </c>
      <c r="AK268" s="1">
        <v>8.8</v>
      </c>
      <c r="AL268" s="1">
        <v>2.1</v>
      </c>
      <c r="AM268" s="1">
        <v>19.5</v>
      </c>
      <c r="AN268" s="1">
        <v>6.7</v>
      </c>
      <c r="AO268" s="1">
        <v>59.4</v>
      </c>
      <c r="AP268" s="1">
        <v>0.5</v>
      </c>
      <c r="AQ268" s="1">
        <v>0.7</v>
      </c>
      <c r="AR268" s="1">
        <v>1.2</v>
      </c>
    </row>
    <row r="269" ht="15.75" customHeight="1">
      <c r="A269" s="1" t="str">
        <f>CONCATENATE(Scores!A269,"+++",Scores!C269)</f>
        <v>Kentucky+++Ohio</v>
      </c>
      <c r="B269" s="1">
        <f>Scores!B269</f>
        <v>41</v>
      </c>
      <c r="C269" s="1">
        <f t="array" ref="C269:W269">XLOOKUP(LEFT(A269,SEARCH("+",A269)-1),'Offensive Data'!$A$2:$A$134,'Offensive Data'!$D$2:$X$134)</f>
        <v>13.9</v>
      </c>
      <c r="D269" s="1">
        <v>26.0</v>
      </c>
      <c r="E269" s="1">
        <v>53.5</v>
      </c>
      <c r="F269" s="1">
        <v>184.8</v>
      </c>
      <c r="G269" s="1">
        <v>1.3</v>
      </c>
      <c r="H269" s="1">
        <v>36.9</v>
      </c>
      <c r="I269" s="1">
        <v>145.6</v>
      </c>
      <c r="J269" s="1">
        <v>3.9</v>
      </c>
      <c r="K269" s="1">
        <v>0.9</v>
      </c>
      <c r="L269" s="1">
        <v>62.9</v>
      </c>
      <c r="M269" s="1">
        <v>330.4</v>
      </c>
      <c r="N269" s="1">
        <v>5.3</v>
      </c>
      <c r="O269" s="1">
        <v>7.6</v>
      </c>
      <c r="P269" s="1">
        <v>9.6</v>
      </c>
      <c r="Q269" s="1">
        <v>2.3</v>
      </c>
      <c r="R269" s="1">
        <v>19.4</v>
      </c>
      <c r="S269" s="1">
        <v>6.3</v>
      </c>
      <c r="T269" s="1">
        <v>52.1</v>
      </c>
      <c r="U269" s="1">
        <v>0.5</v>
      </c>
      <c r="V269" s="1">
        <v>1.4</v>
      </c>
      <c r="W269" s="1">
        <v>1.9</v>
      </c>
      <c r="X269" s="1">
        <f t="array" ref="X269:AR269">XLOOKUP(MID(A269, SEARCH("+++", A269) + 3, LEN(A269)),'Defensive Data'!$A$2:$A$134,'Defensive Data'!$D$2:$X$134)</f>
        <v>18.9</v>
      </c>
      <c r="Y269" s="1">
        <v>31.0</v>
      </c>
      <c r="Z269" s="1">
        <v>61.1</v>
      </c>
      <c r="AA269" s="1">
        <v>212.6</v>
      </c>
      <c r="AB269" s="1">
        <v>1.1</v>
      </c>
      <c r="AC269" s="1">
        <v>30.7</v>
      </c>
      <c r="AD269" s="1">
        <v>90.6</v>
      </c>
      <c r="AE269" s="1">
        <v>2.9</v>
      </c>
      <c r="AF269" s="1">
        <v>1.0</v>
      </c>
      <c r="AG269" s="1">
        <v>61.7</v>
      </c>
      <c r="AH269" s="1">
        <v>303.1</v>
      </c>
      <c r="AI269" s="1">
        <v>4.9</v>
      </c>
      <c r="AJ269" s="1">
        <v>9.8</v>
      </c>
      <c r="AK269" s="1">
        <v>5.8</v>
      </c>
      <c r="AL269" s="1">
        <v>1.0</v>
      </c>
      <c r="AM269" s="1">
        <v>16.6</v>
      </c>
      <c r="AN269" s="1">
        <v>5.7</v>
      </c>
      <c r="AO269" s="1">
        <v>52.4</v>
      </c>
      <c r="AP269" s="1">
        <v>0.6</v>
      </c>
      <c r="AQ269" s="1">
        <v>0.8</v>
      </c>
      <c r="AR269" s="1">
        <v>1.4</v>
      </c>
    </row>
    <row r="270" ht="15.75" customHeight="1">
      <c r="A270" s="1" t="str">
        <f>CONCATENATE(Scores!A270,"+++",Scores!C270)</f>
        <v>Liberty+++East Carolina</v>
      </c>
      <c r="B270" s="1">
        <f>Scores!B270</f>
        <v>35</v>
      </c>
      <c r="C270" s="1">
        <f t="array" ref="C270:W270">XLOOKUP(LEFT(A270,SEARCH("+",A270)-1),'Offensive Data'!$A$2:$A$134,'Offensive Data'!$D$2:$X$134)</f>
        <v>13.1</v>
      </c>
      <c r="D270" s="1">
        <v>24.1</v>
      </c>
      <c r="E270" s="1">
        <v>54.3</v>
      </c>
      <c r="F270" s="1">
        <v>167.8</v>
      </c>
      <c r="G270" s="1">
        <v>1.3</v>
      </c>
      <c r="H270" s="1">
        <v>45.2</v>
      </c>
      <c r="I270" s="1">
        <v>250.7</v>
      </c>
      <c r="J270" s="1">
        <v>5.5</v>
      </c>
      <c r="K270" s="1">
        <v>2.3</v>
      </c>
      <c r="L270" s="1">
        <v>69.3</v>
      </c>
      <c r="M270" s="1">
        <v>418.5</v>
      </c>
      <c r="N270" s="1">
        <v>6.0</v>
      </c>
      <c r="O270" s="1">
        <v>7.5</v>
      </c>
      <c r="P270" s="1">
        <v>13.8</v>
      </c>
      <c r="Q270" s="1">
        <v>1.8</v>
      </c>
      <c r="R270" s="1">
        <v>23.1</v>
      </c>
      <c r="S270" s="1">
        <v>6.8</v>
      </c>
      <c r="T270" s="1">
        <v>66.1</v>
      </c>
      <c r="U270" s="1">
        <v>0.9</v>
      </c>
      <c r="V270" s="1">
        <v>0.6</v>
      </c>
      <c r="W270" s="1">
        <v>1.5</v>
      </c>
      <c r="X270" s="1">
        <f t="array" ref="X270:AR270">XLOOKUP(MID(A270, SEARCH("+++", A270) + 3, LEN(A270)),'Defensive Data'!$A$2:$A$134,'Defensive Data'!$D$2:$X$134)</f>
        <v>19.6</v>
      </c>
      <c r="Y270" s="1">
        <v>32.7</v>
      </c>
      <c r="Z270" s="1">
        <v>60.0</v>
      </c>
      <c r="AA270" s="1">
        <v>235.3</v>
      </c>
      <c r="AB270" s="1">
        <v>1.8</v>
      </c>
      <c r="AC270" s="1">
        <v>41.8</v>
      </c>
      <c r="AD270" s="1">
        <v>169.8</v>
      </c>
      <c r="AE270" s="1">
        <v>4.1</v>
      </c>
      <c r="AF270" s="1">
        <v>1.6</v>
      </c>
      <c r="AG270" s="1">
        <v>74.5</v>
      </c>
      <c r="AH270" s="1">
        <v>405.2</v>
      </c>
      <c r="AI270" s="1">
        <v>5.4</v>
      </c>
      <c r="AJ270" s="1">
        <v>10.4</v>
      </c>
      <c r="AK270" s="1">
        <v>8.6</v>
      </c>
      <c r="AL270" s="1">
        <v>2.2</v>
      </c>
      <c r="AM270" s="1">
        <v>21.2</v>
      </c>
      <c r="AN270" s="1">
        <v>6.9</v>
      </c>
      <c r="AO270" s="1">
        <v>60.8</v>
      </c>
      <c r="AP270" s="1">
        <v>0.6</v>
      </c>
      <c r="AQ270" s="1">
        <v>1.1</v>
      </c>
      <c r="AR270" s="1">
        <v>1.7</v>
      </c>
    </row>
    <row r="271" ht="15.75" customHeight="1">
      <c r="A271" s="1" t="str">
        <f>CONCATENATE(Scores!A271,"+++",Scores!C271)</f>
        <v> Louisiana State+++UCLA</v>
      </c>
      <c r="B271" s="1">
        <f>Scores!B271</f>
        <v>34</v>
      </c>
      <c r="C271" s="1" t="str">
        <f t="array" ref="C271">XLOOKUP(LEFT(A271,SEARCH("+",A271)-1),'Offensive Data'!$A$2:$A$134,'Offensive Data'!$D$2:$X$134)</f>
        <v>#N/A</v>
      </c>
      <c r="X271" s="1">
        <f t="array" ref="X271:AR271">XLOOKUP(MID(A271, SEARCH("+++", A271) + 3, LEN(A271)),'Defensive Data'!$A$2:$A$134,'Defensive Data'!$D$2:$X$134)</f>
        <v>22.4</v>
      </c>
      <c r="Y271" s="1">
        <v>34.3</v>
      </c>
      <c r="Z271" s="1">
        <v>65.5</v>
      </c>
      <c r="AA271" s="1">
        <v>244.7</v>
      </c>
      <c r="AB271" s="1">
        <v>1.6</v>
      </c>
      <c r="AC271" s="1">
        <v>28.8</v>
      </c>
      <c r="AD271" s="1">
        <v>96.2</v>
      </c>
      <c r="AE271" s="1">
        <v>3.3</v>
      </c>
      <c r="AF271" s="1">
        <v>1.4</v>
      </c>
      <c r="AG271" s="1">
        <v>63.0</v>
      </c>
      <c r="AH271" s="1">
        <v>340.8</v>
      </c>
      <c r="AI271" s="1">
        <v>5.4</v>
      </c>
      <c r="AJ271" s="1">
        <v>11.5</v>
      </c>
      <c r="AK271" s="1">
        <v>5.8</v>
      </c>
      <c r="AL271" s="1">
        <v>2.8</v>
      </c>
      <c r="AM271" s="1">
        <v>20.2</v>
      </c>
      <c r="AN271" s="1">
        <v>4.8</v>
      </c>
      <c r="AO271" s="1">
        <v>41.3</v>
      </c>
      <c r="AP271" s="1">
        <v>0.3</v>
      </c>
      <c r="AQ271" s="1">
        <v>0.8</v>
      </c>
      <c r="AR271" s="1">
        <v>1.1</v>
      </c>
    </row>
    <row r="272" ht="15.75" customHeight="1">
      <c r="A272" s="1" t="str">
        <f>CONCATENATE(Scores!A272,"+++",Scores!C272)</f>
        <v> Louisville+++Georgia Tech</v>
      </c>
      <c r="B272" s="1">
        <f>Scores!B272</f>
        <v>31</v>
      </c>
      <c r="C272" s="1" t="str">
        <f t="array" ref="C272">XLOOKUP(LEFT(A272,SEARCH("+",A272)-1),'Offensive Data'!$A$2:$A$134,'Offensive Data'!$D$2:$X$134)</f>
        <v>#N/A</v>
      </c>
      <c r="X272" s="1">
        <f t="array" ref="X272:AR272">XLOOKUP(MID(A272, SEARCH("+++", A272) + 3, LEN(A272)),'Defensive Data'!$A$2:$A$134,'Defensive Data'!$D$2:$X$134)</f>
        <v>19.5</v>
      </c>
      <c r="Y272" s="1">
        <v>30.8</v>
      </c>
      <c r="Z272" s="1">
        <v>63.1</v>
      </c>
      <c r="AA272" s="1">
        <v>220.7</v>
      </c>
      <c r="AB272" s="1">
        <v>1.8</v>
      </c>
      <c r="AC272" s="1">
        <v>30.0</v>
      </c>
      <c r="AD272" s="1">
        <v>122.2</v>
      </c>
      <c r="AE272" s="1">
        <v>4.1</v>
      </c>
      <c r="AF272" s="1">
        <v>1.2</v>
      </c>
      <c r="AG272" s="1">
        <v>60.8</v>
      </c>
      <c r="AH272" s="1">
        <v>342.8</v>
      </c>
      <c r="AI272" s="1">
        <v>5.6</v>
      </c>
      <c r="AJ272" s="1">
        <v>9.6</v>
      </c>
      <c r="AK272" s="1">
        <v>7.0</v>
      </c>
      <c r="AL272" s="1">
        <v>1.7</v>
      </c>
      <c r="AM272" s="1">
        <v>18.3</v>
      </c>
      <c r="AN272" s="1">
        <v>4.3</v>
      </c>
      <c r="AO272" s="1">
        <v>40.3</v>
      </c>
      <c r="AP272" s="1">
        <v>0.5</v>
      </c>
      <c r="AQ272" s="1">
        <v>0.4</v>
      </c>
      <c r="AR272" s="1">
        <v>0.8</v>
      </c>
    </row>
    <row r="273" ht="15.75" customHeight="1">
      <c r="A273" s="1" t="str">
        <f>CONCATENATE(Scores!A273,"+++",Scores!C273)</f>
        <v>Maryland+++Villanova</v>
      </c>
      <c r="B273" s="1">
        <f>Scores!B273</f>
        <v>38</v>
      </c>
      <c r="C273" s="1">
        <f t="array" ref="C273:W273">XLOOKUP(LEFT(A273,SEARCH("+",A273)-1),'Offensive Data'!$A$2:$A$134,'Offensive Data'!$D$2:$X$134)</f>
        <v>26.3</v>
      </c>
      <c r="D273" s="1">
        <v>41.2</v>
      </c>
      <c r="E273" s="1">
        <v>63.8</v>
      </c>
      <c r="F273" s="1">
        <v>275.7</v>
      </c>
      <c r="G273" s="1">
        <v>1.8</v>
      </c>
      <c r="H273" s="1">
        <v>30.8</v>
      </c>
      <c r="I273" s="1">
        <v>110.4</v>
      </c>
      <c r="J273" s="1">
        <v>3.6</v>
      </c>
      <c r="K273" s="1">
        <v>1.3</v>
      </c>
      <c r="L273" s="1">
        <v>72.0</v>
      </c>
      <c r="M273" s="1">
        <v>386.1</v>
      </c>
      <c r="N273" s="1">
        <v>5.4</v>
      </c>
      <c r="O273" s="1">
        <v>13.1</v>
      </c>
      <c r="P273" s="1">
        <v>6.3</v>
      </c>
      <c r="Q273" s="1">
        <v>2.2</v>
      </c>
      <c r="R273" s="1">
        <v>21.5</v>
      </c>
      <c r="S273" s="1">
        <v>6.4</v>
      </c>
      <c r="T273" s="1">
        <v>58.6</v>
      </c>
      <c r="U273" s="1">
        <v>0.5</v>
      </c>
      <c r="V273" s="1">
        <v>1.2</v>
      </c>
      <c r="W273" s="1">
        <v>1.7</v>
      </c>
      <c r="X273" s="1" t="str">
        <f t="array" ref="X273">XLOOKUP(MID(A273, SEARCH("+++", A273) + 3, LEN(A273)),'Defensive Data'!$A$2:$A$134,'Defensive Data'!$D$2:$X$134)</f>
        <v>#N/A</v>
      </c>
    </row>
    <row r="274" ht="15.75" customHeight="1">
      <c r="A274" s="1" t="str">
        <f>CONCATENATE(Scores!A274,"+++",Scores!C274)</f>
        <v>Massachusetts+++Central Connecticut State</v>
      </c>
      <c r="B274" s="1">
        <f>Scores!B274</f>
        <v>35</v>
      </c>
      <c r="C274" s="1">
        <f t="array" ref="C274:W274">XLOOKUP(LEFT(A274,SEARCH("+",A274)-1),'Offensive Data'!$A$2:$A$134,'Offensive Data'!$D$2:$X$134)</f>
        <v>15.6</v>
      </c>
      <c r="D274" s="1">
        <v>27.3</v>
      </c>
      <c r="E274" s="1">
        <v>57.2</v>
      </c>
      <c r="F274" s="1">
        <v>181.8</v>
      </c>
      <c r="G274" s="1">
        <v>1.2</v>
      </c>
      <c r="H274" s="1">
        <v>40.3</v>
      </c>
      <c r="I274" s="1">
        <v>163.5</v>
      </c>
      <c r="J274" s="1">
        <v>4.1</v>
      </c>
      <c r="K274" s="1">
        <v>1.5</v>
      </c>
      <c r="L274" s="1">
        <v>67.5</v>
      </c>
      <c r="M274" s="1">
        <v>345.3</v>
      </c>
      <c r="N274" s="1">
        <v>5.1</v>
      </c>
      <c r="O274" s="1">
        <v>7.7</v>
      </c>
      <c r="P274" s="1">
        <v>9.8</v>
      </c>
      <c r="Q274" s="1">
        <v>2.2</v>
      </c>
      <c r="R274" s="1">
        <v>19.7</v>
      </c>
      <c r="S274" s="1">
        <v>7.3</v>
      </c>
      <c r="T274" s="1">
        <v>63.2</v>
      </c>
      <c r="U274" s="1">
        <v>0.3</v>
      </c>
      <c r="V274" s="1">
        <v>0.5</v>
      </c>
      <c r="W274" s="1">
        <v>0.8</v>
      </c>
      <c r="X274" s="1" t="str">
        <f t="array" ref="X274">XLOOKUP(MID(A274, SEARCH("+++", A274) + 3, LEN(A274)),'Defensive Data'!$A$2:$A$134,'Defensive Data'!$D$2:$X$134)</f>
        <v>#N/A</v>
      </c>
    </row>
    <row r="275" ht="15.75" customHeight="1">
      <c r="A275" s="1" t="str">
        <f>CONCATENATE(Scores!A275,"+++",Scores!C275)</f>
        <v> Miami (FL)+++South Florida</v>
      </c>
      <c r="B275" s="1">
        <f>Scores!B275</f>
        <v>50</v>
      </c>
      <c r="C275" s="1" t="str">
        <f t="array" ref="C275">XLOOKUP(LEFT(A275,SEARCH("+",A275)-1),'Offensive Data'!$A$2:$A$134,'Offensive Data'!$D$2:$X$134)</f>
        <v>#N/A</v>
      </c>
      <c r="X275" s="1">
        <f t="array" ref="X275:AR275">XLOOKUP(MID(A275, SEARCH("+++", A275) + 3, LEN(A275)),'Defensive Data'!$A$2:$A$134,'Defensive Data'!$D$2:$X$134)</f>
        <v>21.3</v>
      </c>
      <c r="Y275" s="1">
        <v>36.2</v>
      </c>
      <c r="Z275" s="1">
        <v>58.8</v>
      </c>
      <c r="AA275" s="1">
        <v>278.8</v>
      </c>
      <c r="AB275" s="1">
        <v>1.8</v>
      </c>
      <c r="AC275" s="1">
        <v>39.2</v>
      </c>
      <c r="AD275" s="1">
        <v>158.2</v>
      </c>
      <c r="AE275" s="1">
        <v>4.0</v>
      </c>
      <c r="AF275" s="1">
        <v>1.9</v>
      </c>
      <c r="AG275" s="1">
        <v>75.5</v>
      </c>
      <c r="AH275" s="1">
        <v>436.9</v>
      </c>
      <c r="AI275" s="1">
        <v>5.8</v>
      </c>
      <c r="AJ275" s="1">
        <v>11.5</v>
      </c>
      <c r="AK275" s="1">
        <v>8.5</v>
      </c>
      <c r="AL275" s="1">
        <v>2.7</v>
      </c>
      <c r="AM275" s="1">
        <v>22.7</v>
      </c>
      <c r="AN275" s="1">
        <v>8.5</v>
      </c>
      <c r="AO275" s="1">
        <v>73.2</v>
      </c>
      <c r="AP275" s="1">
        <v>1.0</v>
      </c>
      <c r="AQ275" s="1">
        <v>0.9</v>
      </c>
      <c r="AR275" s="1">
        <v>1.9</v>
      </c>
    </row>
    <row r="276" ht="15.75" customHeight="1">
      <c r="A276" s="1" t="str">
        <f>CONCATENATE(Scores!A276,"+++",Scores!C276)</f>
        <v> Michigan+++ Southern California</v>
      </c>
      <c r="B276" s="1">
        <f>Scores!B276</f>
        <v>27</v>
      </c>
      <c r="C276" s="1" t="str">
        <f t="array" ref="C276">XLOOKUP(LEFT(A276,SEARCH("+",A276)-1),'Offensive Data'!$A$2:$A$134,'Offensive Data'!$D$2:$X$134)</f>
        <v>#N/A</v>
      </c>
      <c r="X276" s="1" t="str">
        <f t="array" ref="X276">XLOOKUP(MID(A276, SEARCH("+++", A276) + 3, LEN(A276)),'Defensive Data'!$A$2:$A$134,'Defensive Data'!$D$2:$X$134)</f>
        <v>#N/A</v>
      </c>
    </row>
    <row r="277" ht="15.75" customHeight="1">
      <c r="A277" s="1" t="str">
        <f>CONCATENATE(Scores!A277,"+++",Scores!C277)</f>
        <v> Mississippi+++Georgia Southern</v>
      </c>
      <c r="B277" s="1">
        <f>Scores!B277</f>
        <v>52</v>
      </c>
      <c r="C277" s="1" t="str">
        <f t="array" ref="C277">XLOOKUP(LEFT(A277,SEARCH("+",A277)-1),'Offensive Data'!$A$2:$A$134,'Offensive Data'!$D$2:$X$134)</f>
        <v>#N/A</v>
      </c>
      <c r="X277" s="1">
        <f t="array" ref="X277:AR277">XLOOKUP(MID(A277, SEARCH("+++", A277) + 3, LEN(A277)),'Defensive Data'!$A$2:$A$134,'Defensive Data'!$D$2:$X$134)</f>
        <v>21.3</v>
      </c>
      <c r="Y277" s="1">
        <v>33.7</v>
      </c>
      <c r="Z277" s="1">
        <v>63.2</v>
      </c>
      <c r="AA277" s="1">
        <v>259.4</v>
      </c>
      <c r="AB277" s="1">
        <v>1.6</v>
      </c>
      <c r="AC277" s="1">
        <v>34.4</v>
      </c>
      <c r="AD277" s="1">
        <v>170.0</v>
      </c>
      <c r="AE277" s="1">
        <v>4.9</v>
      </c>
      <c r="AF277" s="1">
        <v>1.8</v>
      </c>
      <c r="AG277" s="1">
        <v>68.1</v>
      </c>
      <c r="AH277" s="1">
        <v>429.4</v>
      </c>
      <c r="AI277" s="1">
        <v>6.3</v>
      </c>
      <c r="AJ277" s="1">
        <v>11.8</v>
      </c>
      <c r="AK277" s="1">
        <v>8.1</v>
      </c>
      <c r="AL277" s="1">
        <v>1.1</v>
      </c>
      <c r="AM277" s="1">
        <v>21.0</v>
      </c>
      <c r="AN277" s="1">
        <v>8.5</v>
      </c>
      <c r="AO277" s="1">
        <v>77.5</v>
      </c>
      <c r="AP277" s="1">
        <v>0.5</v>
      </c>
      <c r="AQ277" s="1">
        <v>1.0</v>
      </c>
      <c r="AR277" s="1">
        <v>1.5</v>
      </c>
    </row>
    <row r="278" ht="15.75" customHeight="1">
      <c r="A278" s="1" t="str">
        <f>CONCATENATE(Scores!A278,"+++",Scores!C278)</f>
        <v> Missouri+++Vanderbilt</v>
      </c>
      <c r="B278" s="1">
        <f>Scores!B278</f>
        <v>30</v>
      </c>
      <c r="C278" s="1" t="str">
        <f t="array" ref="C278">XLOOKUP(LEFT(A278,SEARCH("+",A278)-1),'Offensive Data'!$A$2:$A$134,'Offensive Data'!$D$2:$X$134)</f>
        <v>#N/A</v>
      </c>
      <c r="X278" s="1">
        <f t="array" ref="X278:AR278">XLOOKUP(MID(A278, SEARCH("+++", A278) + 3, LEN(A278)),'Defensive Data'!$A$2:$A$134,'Defensive Data'!$D$2:$X$134)</f>
        <v>20.4</v>
      </c>
      <c r="Y278" s="1">
        <v>29.9</v>
      </c>
      <c r="Z278" s="1">
        <v>68.1</v>
      </c>
      <c r="AA278" s="1">
        <v>235.7</v>
      </c>
      <c r="AB278" s="1">
        <v>1.8</v>
      </c>
      <c r="AC278" s="1">
        <v>32.8</v>
      </c>
      <c r="AD278" s="1">
        <v>140.8</v>
      </c>
      <c r="AE278" s="1">
        <v>4.3</v>
      </c>
      <c r="AF278" s="1">
        <v>1.0</v>
      </c>
      <c r="AG278" s="1">
        <v>62.8</v>
      </c>
      <c r="AH278" s="1">
        <v>376.5</v>
      </c>
      <c r="AI278" s="1">
        <v>6.0</v>
      </c>
      <c r="AJ278" s="1">
        <v>10.9</v>
      </c>
      <c r="AK278" s="1">
        <v>8.1</v>
      </c>
      <c r="AL278" s="1">
        <v>1.6</v>
      </c>
      <c r="AM278" s="1">
        <v>20.6</v>
      </c>
      <c r="AN278" s="1">
        <v>6.8</v>
      </c>
      <c r="AO278" s="1">
        <v>58.8</v>
      </c>
      <c r="AP278" s="1">
        <v>0.5</v>
      </c>
      <c r="AQ278" s="1">
        <v>0.8</v>
      </c>
      <c r="AR278" s="1">
        <v>1.2</v>
      </c>
    </row>
    <row r="279" ht="15.75" customHeight="1">
      <c r="A279" s="1" t="str">
        <f>CONCATENATE(Scores!A279,"+++",Scores!C279)</f>
        <v>Monmouth+++Florida International</v>
      </c>
      <c r="B279" s="1">
        <f>Scores!B279</f>
        <v>45</v>
      </c>
      <c r="C279" s="1" t="str">
        <f t="array" ref="C279">XLOOKUP(LEFT(A279,SEARCH("+",A279)-1),'Offensive Data'!$A$2:$A$134,'Offensive Data'!$D$2:$X$134)</f>
        <v>#N/A</v>
      </c>
      <c r="X279" s="1">
        <f t="array" ref="X279:AR279">XLOOKUP(MID(A279, SEARCH("+++", A279) + 3, LEN(A279)),'Defensive Data'!$A$2:$A$134,'Defensive Data'!$D$2:$X$134)</f>
        <v>17.6</v>
      </c>
      <c r="Y279" s="1">
        <v>29.8</v>
      </c>
      <c r="Z279" s="1">
        <v>59.1</v>
      </c>
      <c r="AA279" s="1">
        <v>179.6</v>
      </c>
      <c r="AB279" s="1">
        <v>0.8</v>
      </c>
      <c r="AC279" s="1">
        <v>41.0</v>
      </c>
      <c r="AD279" s="1">
        <v>191.3</v>
      </c>
      <c r="AE279" s="1">
        <v>4.7</v>
      </c>
      <c r="AF279" s="1">
        <v>2.3</v>
      </c>
      <c r="AG279" s="1">
        <v>70.8</v>
      </c>
      <c r="AH279" s="1">
        <v>370.9</v>
      </c>
      <c r="AI279" s="1">
        <v>5.2</v>
      </c>
      <c r="AJ279" s="1">
        <v>8.0</v>
      </c>
      <c r="AK279" s="1">
        <v>10.3</v>
      </c>
      <c r="AL279" s="1">
        <v>1.4</v>
      </c>
      <c r="AM279" s="1">
        <v>19.7</v>
      </c>
      <c r="AN279" s="1">
        <v>6.6</v>
      </c>
      <c r="AO279" s="1">
        <v>54.8</v>
      </c>
      <c r="AP279" s="1">
        <v>0.4</v>
      </c>
      <c r="AQ279" s="1">
        <v>0.9</v>
      </c>
      <c r="AR279" s="1">
        <v>1.3</v>
      </c>
    </row>
    <row r="280" ht="15.75" customHeight="1">
      <c r="A280" s="1" t="str">
        <f>CONCATENATE(Scores!A280,"+++",Scores!C280)</f>
        <v>Navy+++Memphis</v>
      </c>
      <c r="B280" s="1">
        <f>Scores!B280</f>
        <v>56</v>
      </c>
      <c r="C280" s="1">
        <f t="array" ref="C280:W280">XLOOKUP(LEFT(A280,SEARCH("+",A280)-1),'Offensive Data'!$A$2:$A$134,'Offensive Data'!$D$2:$X$134)</f>
        <v>7.6</v>
      </c>
      <c r="D280" s="1">
        <v>13.8</v>
      </c>
      <c r="E280" s="1">
        <v>55.3</v>
      </c>
      <c r="F280" s="1">
        <v>123.8</v>
      </c>
      <c r="G280" s="1">
        <v>1.2</v>
      </c>
      <c r="H280" s="1">
        <v>45.5</v>
      </c>
      <c r="I280" s="1">
        <v>247.5</v>
      </c>
      <c r="J280" s="1">
        <v>5.4</v>
      </c>
      <c r="K280" s="1">
        <v>2.9</v>
      </c>
      <c r="L280" s="1">
        <v>59.3</v>
      </c>
      <c r="M280" s="1">
        <v>371.3</v>
      </c>
      <c r="N280" s="1">
        <v>6.3</v>
      </c>
      <c r="O280" s="1">
        <v>4.8</v>
      </c>
      <c r="P280" s="1">
        <v>11.4</v>
      </c>
      <c r="Q280" s="1">
        <v>0.8</v>
      </c>
      <c r="R280" s="1">
        <v>17.0</v>
      </c>
      <c r="S280" s="1">
        <v>5.1</v>
      </c>
      <c r="T280" s="1">
        <v>45.0</v>
      </c>
      <c r="U280" s="1">
        <v>0.6</v>
      </c>
      <c r="V280" s="1">
        <v>0.5</v>
      </c>
      <c r="W280" s="1">
        <v>1.1</v>
      </c>
      <c r="X280" s="1">
        <f t="array" ref="X280:AR280">XLOOKUP(MID(A280, SEARCH("+++", A280) + 3, LEN(A280)),'Defensive Data'!$A$2:$A$134,'Defensive Data'!$D$2:$X$134)</f>
        <v>21.2</v>
      </c>
      <c r="Y280" s="1">
        <v>35.2</v>
      </c>
      <c r="Z280" s="1">
        <v>60.2</v>
      </c>
      <c r="AA280" s="1">
        <v>257.5</v>
      </c>
      <c r="AB280" s="1">
        <v>1.3</v>
      </c>
      <c r="AC280" s="1">
        <v>28.2</v>
      </c>
      <c r="AD280" s="1">
        <v>111.8</v>
      </c>
      <c r="AE280" s="1">
        <v>4.0</v>
      </c>
      <c r="AF280" s="1">
        <v>1.6</v>
      </c>
      <c r="AG280" s="1">
        <v>63.4</v>
      </c>
      <c r="AH280" s="1">
        <v>369.3</v>
      </c>
      <c r="AI280" s="1">
        <v>5.8</v>
      </c>
      <c r="AJ280" s="1">
        <v>10.2</v>
      </c>
      <c r="AK280" s="1">
        <v>5.5</v>
      </c>
      <c r="AL280" s="1">
        <v>1.7</v>
      </c>
      <c r="AM280" s="1">
        <v>17.3</v>
      </c>
      <c r="AN280" s="1">
        <v>5.9</v>
      </c>
      <c r="AO280" s="1">
        <v>46.3</v>
      </c>
      <c r="AP280" s="1">
        <v>1.2</v>
      </c>
      <c r="AQ280" s="1">
        <v>0.8</v>
      </c>
      <c r="AR280" s="1">
        <v>2.0</v>
      </c>
    </row>
    <row r="281" ht="15.75" customHeight="1">
      <c r="A281" s="1" t="str">
        <f>CONCATENATE(Scores!A281,"+++",Scores!C281)</f>
        <v>Nevada+++Eastern Washington</v>
      </c>
      <c r="B281" s="1">
        <f>Scores!B281</f>
        <v>49</v>
      </c>
      <c r="C281" s="1">
        <f t="array" ref="C281:W281">XLOOKUP(LEFT(A281,SEARCH("+",A281)-1),'Offensive Data'!$A$2:$A$134,'Offensive Data'!$D$2:$X$134)</f>
        <v>19</v>
      </c>
      <c r="D281" s="1">
        <v>28.2</v>
      </c>
      <c r="E281" s="1">
        <v>67.5</v>
      </c>
      <c r="F281" s="1">
        <v>212.6</v>
      </c>
      <c r="G281" s="1">
        <v>1.5</v>
      </c>
      <c r="H281" s="1">
        <v>35.5</v>
      </c>
      <c r="I281" s="1">
        <v>163.5</v>
      </c>
      <c r="J281" s="1">
        <v>4.6</v>
      </c>
      <c r="K281" s="1">
        <v>1.6</v>
      </c>
      <c r="L281" s="1">
        <v>63.7</v>
      </c>
      <c r="M281" s="1">
        <v>376.1</v>
      </c>
      <c r="N281" s="1">
        <v>5.9</v>
      </c>
      <c r="O281" s="1">
        <v>9.0</v>
      </c>
      <c r="P281" s="1">
        <v>8.8</v>
      </c>
      <c r="Q281" s="1">
        <v>1.7</v>
      </c>
      <c r="R281" s="1">
        <v>19.5</v>
      </c>
      <c r="S281" s="1">
        <v>7.6</v>
      </c>
      <c r="T281" s="1">
        <v>71.9</v>
      </c>
      <c r="U281" s="1">
        <v>0.5</v>
      </c>
      <c r="V281" s="1">
        <v>0.6</v>
      </c>
      <c r="W281" s="1">
        <v>1.2</v>
      </c>
      <c r="X281" s="1" t="str">
        <f t="array" ref="X281">XLOOKUP(MID(A281, SEARCH("+++", A281) + 3, LEN(A281)),'Defensive Data'!$A$2:$A$134,'Defensive Data'!$D$2:$X$134)</f>
        <v>#N/A</v>
      </c>
    </row>
    <row r="282" ht="15.75" customHeight="1">
      <c r="A282" s="1" t="str">
        <f>CONCATENATE(Scores!A282,"+++",Scores!C282)</f>
        <v>North Texas+++Wyoming</v>
      </c>
      <c r="B282" s="1">
        <f>Scores!B282</f>
        <v>44</v>
      </c>
      <c r="C282" s="1">
        <f t="array" ref="C282:W282">XLOOKUP(LEFT(A282,SEARCH("+",A282)-1),'Offensive Data'!$A$2:$A$134,'Offensive Data'!$D$2:$X$134)</f>
        <v>27.2</v>
      </c>
      <c r="D282" s="1">
        <v>43.2</v>
      </c>
      <c r="E282" s="1">
        <v>62.8</v>
      </c>
      <c r="F282" s="1">
        <v>328.2</v>
      </c>
      <c r="G282" s="1">
        <v>2.5</v>
      </c>
      <c r="H282" s="1">
        <v>29.5</v>
      </c>
      <c r="I282" s="1">
        <v>160.6</v>
      </c>
      <c r="J282" s="1">
        <v>5.4</v>
      </c>
      <c r="K282" s="1">
        <v>1.8</v>
      </c>
      <c r="L282" s="1">
        <v>72.8</v>
      </c>
      <c r="M282" s="1">
        <v>488.8</v>
      </c>
      <c r="N282" s="1">
        <v>6.7</v>
      </c>
      <c r="O282" s="1">
        <v>14.5</v>
      </c>
      <c r="P282" s="1">
        <v>6.7</v>
      </c>
      <c r="Q282" s="1">
        <v>2.6</v>
      </c>
      <c r="R282" s="1">
        <v>23.8</v>
      </c>
      <c r="S282" s="1">
        <v>7.0</v>
      </c>
      <c r="T282" s="1">
        <v>59.5</v>
      </c>
      <c r="U282" s="1">
        <v>0.6</v>
      </c>
      <c r="V282" s="1">
        <v>1.1</v>
      </c>
      <c r="W282" s="1">
        <v>1.7</v>
      </c>
      <c r="X282" s="1">
        <f t="array" ref="X282:AR282">XLOOKUP(MID(A282, SEARCH("+++", A282) + 3, LEN(A282)),'Defensive Data'!$A$2:$A$134,'Defensive Data'!$D$2:$X$134)</f>
        <v>17.6</v>
      </c>
      <c r="Y282" s="1">
        <v>28.5</v>
      </c>
      <c r="Z282" s="1">
        <v>61.7</v>
      </c>
      <c r="AA282" s="1">
        <v>218.9</v>
      </c>
      <c r="AB282" s="1">
        <v>1.3</v>
      </c>
      <c r="AC282" s="1">
        <v>35.0</v>
      </c>
      <c r="AD282" s="1">
        <v>191.7</v>
      </c>
      <c r="AE282" s="1">
        <v>5.5</v>
      </c>
      <c r="AF282" s="1">
        <v>1.8</v>
      </c>
      <c r="AG282" s="1">
        <v>63.5</v>
      </c>
      <c r="AH282" s="1">
        <v>410.6</v>
      </c>
      <c r="AI282" s="1">
        <v>6.5</v>
      </c>
      <c r="AJ282" s="1">
        <v>9.8</v>
      </c>
      <c r="AK282" s="1">
        <v>8.7</v>
      </c>
      <c r="AL282" s="1">
        <v>1.5</v>
      </c>
      <c r="AM282" s="1">
        <v>19.9</v>
      </c>
      <c r="AN282" s="1">
        <v>7.1</v>
      </c>
      <c r="AO282" s="1">
        <v>58.8</v>
      </c>
      <c r="AP282" s="1">
        <v>0.4</v>
      </c>
      <c r="AQ282" s="1">
        <v>0.5</v>
      </c>
      <c r="AR282" s="1">
        <v>0.9</v>
      </c>
    </row>
    <row r="283" ht="15.75" customHeight="1">
      <c r="A283" s="1" t="str">
        <f>CONCATENATE(Scores!A283,"+++",Scores!C283)</f>
        <v> Notre Dame+++Miami (OH)</v>
      </c>
      <c r="B283" s="1">
        <f>Scores!B283</f>
        <v>28</v>
      </c>
      <c r="C283" s="1" t="str">
        <f t="array" ref="C283">XLOOKUP(LEFT(A283,SEARCH("+",A283)-1),'Offensive Data'!$A$2:$A$134,'Offensive Data'!$D$2:$X$134)</f>
        <v>#N/A</v>
      </c>
      <c r="X283" s="1">
        <f t="array" ref="X283:AR283">XLOOKUP(MID(A283, SEARCH("+++", A283) + 3, LEN(A283)),'Defensive Data'!$A$2:$A$134,'Defensive Data'!$D$2:$X$134)</f>
        <v>19.1</v>
      </c>
      <c r="Y283" s="1">
        <v>33.1</v>
      </c>
      <c r="Z283" s="1">
        <v>57.8</v>
      </c>
      <c r="AA283" s="1">
        <v>194.3</v>
      </c>
      <c r="AB283" s="1">
        <v>0.7</v>
      </c>
      <c r="AC283" s="1">
        <v>35.1</v>
      </c>
      <c r="AD283" s="1">
        <v>137.1</v>
      </c>
      <c r="AE283" s="1">
        <v>3.9</v>
      </c>
      <c r="AF283" s="1">
        <v>1.4</v>
      </c>
      <c r="AG283" s="1">
        <v>68.2</v>
      </c>
      <c r="AH283" s="1">
        <v>331.4</v>
      </c>
      <c r="AI283" s="1">
        <v>4.9</v>
      </c>
      <c r="AJ283" s="1">
        <v>10.1</v>
      </c>
      <c r="AK283" s="1">
        <v>8.3</v>
      </c>
      <c r="AL283" s="1">
        <v>1.8</v>
      </c>
      <c r="AM283" s="1">
        <v>20.2</v>
      </c>
      <c r="AN283" s="1">
        <v>4.9</v>
      </c>
      <c r="AO283" s="1">
        <v>41.9</v>
      </c>
      <c r="AP283" s="1">
        <v>0.7</v>
      </c>
      <c r="AQ283" s="1">
        <v>0.9</v>
      </c>
      <c r="AR283" s="1">
        <v>1.6</v>
      </c>
    </row>
    <row r="284" ht="15.75" customHeight="1">
      <c r="A284" s="1" t="str">
        <f>CONCATENATE(Scores!A284,"+++",Scores!C284)</f>
        <v> Ohio State+++Marshall</v>
      </c>
      <c r="B284" s="1">
        <f>Scores!B284</f>
        <v>49</v>
      </c>
      <c r="C284" s="1" t="str">
        <f t="array" ref="C284">XLOOKUP(LEFT(A284,SEARCH("+",A284)-1),'Offensive Data'!$A$2:$A$134,'Offensive Data'!$D$2:$X$134)</f>
        <v>#N/A</v>
      </c>
      <c r="X284" s="1">
        <f t="array" ref="X284:AR284">XLOOKUP(MID(A284, SEARCH("+++", A284) + 3, LEN(A284)),'Defensive Data'!$A$2:$A$134,'Defensive Data'!$D$2:$X$134)</f>
        <v>16.8</v>
      </c>
      <c r="Y284" s="1">
        <v>29.4</v>
      </c>
      <c r="Z284" s="1">
        <v>57.3</v>
      </c>
      <c r="AA284" s="1">
        <v>199.1</v>
      </c>
      <c r="AB284" s="1">
        <v>1.2</v>
      </c>
      <c r="AC284" s="1">
        <v>40.5</v>
      </c>
      <c r="AD284" s="1">
        <v>179.0</v>
      </c>
      <c r="AE284" s="1">
        <v>4.4</v>
      </c>
      <c r="AF284" s="1">
        <v>1.6</v>
      </c>
      <c r="AG284" s="1">
        <v>69.9</v>
      </c>
      <c r="AH284" s="1">
        <v>378.1</v>
      </c>
      <c r="AI284" s="1">
        <v>5.4</v>
      </c>
      <c r="AJ284" s="1">
        <v>9.1</v>
      </c>
      <c r="AK284" s="1">
        <v>9.2</v>
      </c>
      <c r="AL284" s="1">
        <v>1.5</v>
      </c>
      <c r="AM284" s="1">
        <v>19.8</v>
      </c>
      <c r="AN284" s="1">
        <v>7.0</v>
      </c>
      <c r="AO284" s="1">
        <v>61.4</v>
      </c>
      <c r="AP284" s="1">
        <v>0.5</v>
      </c>
      <c r="AQ284" s="1">
        <v>1.0</v>
      </c>
      <c r="AR284" s="1">
        <v>1.5</v>
      </c>
    </row>
    <row r="285" ht="15.75" customHeight="1">
      <c r="A285" s="1" t="str">
        <f>CONCATENATE(Scores!A285,"+++",Scores!C285)</f>
        <v>Oregon State+++Purdue</v>
      </c>
      <c r="B285" s="1">
        <f>Scores!B285</f>
        <v>38</v>
      </c>
      <c r="C285" s="1">
        <f t="array" ref="C285:W285">XLOOKUP(LEFT(A285,SEARCH("+",A285)-1),'Offensive Data'!$A$2:$A$134,'Offensive Data'!$D$2:$X$134)</f>
        <v>18</v>
      </c>
      <c r="D285" s="1">
        <v>30.0</v>
      </c>
      <c r="E285" s="1">
        <v>60.0</v>
      </c>
      <c r="F285" s="1">
        <v>201.4</v>
      </c>
      <c r="G285" s="1">
        <v>0.6</v>
      </c>
      <c r="H285" s="1">
        <v>40.3</v>
      </c>
      <c r="I285" s="1">
        <v>189.2</v>
      </c>
      <c r="J285" s="1">
        <v>4.7</v>
      </c>
      <c r="K285" s="1">
        <v>2.4</v>
      </c>
      <c r="L285" s="1">
        <v>70.3</v>
      </c>
      <c r="M285" s="1">
        <v>390.6</v>
      </c>
      <c r="N285" s="1">
        <v>5.6</v>
      </c>
      <c r="O285" s="1">
        <v>9.2</v>
      </c>
      <c r="P285" s="1">
        <v>11.1</v>
      </c>
      <c r="Q285" s="1">
        <v>2.1</v>
      </c>
      <c r="R285" s="1">
        <v>22.3</v>
      </c>
      <c r="S285" s="1">
        <v>5.1</v>
      </c>
      <c r="T285" s="1">
        <v>45.7</v>
      </c>
      <c r="U285" s="1">
        <v>0.4</v>
      </c>
      <c r="V285" s="1">
        <v>0.9</v>
      </c>
      <c r="W285" s="1">
        <v>1.3</v>
      </c>
      <c r="X285" s="1">
        <f t="array" ref="X285:AR285">XLOOKUP(MID(A285, SEARCH("+++", A285) + 3, LEN(A285)),'Defensive Data'!$A$2:$A$134,'Defensive Data'!$D$2:$X$134)</f>
        <v>18.2</v>
      </c>
      <c r="Y285" s="1">
        <v>27.6</v>
      </c>
      <c r="Z285" s="1">
        <v>65.9</v>
      </c>
      <c r="AA285" s="1">
        <v>252.7</v>
      </c>
      <c r="AB285" s="1">
        <v>2.3</v>
      </c>
      <c r="AC285" s="1">
        <v>39.3</v>
      </c>
      <c r="AD285" s="1">
        <v>200.0</v>
      </c>
      <c r="AE285" s="1">
        <v>5.1</v>
      </c>
      <c r="AF285" s="1">
        <v>2.8</v>
      </c>
      <c r="AG285" s="1">
        <v>66.9</v>
      </c>
      <c r="AH285" s="1">
        <v>452.7</v>
      </c>
      <c r="AI285" s="1">
        <v>6.8</v>
      </c>
      <c r="AJ285" s="1">
        <v>11.3</v>
      </c>
      <c r="AK285" s="1">
        <v>11.0</v>
      </c>
      <c r="AL285" s="1">
        <v>1.7</v>
      </c>
      <c r="AM285" s="1">
        <v>24.0</v>
      </c>
      <c r="AN285" s="1">
        <v>5.2</v>
      </c>
      <c r="AO285" s="1">
        <v>47.7</v>
      </c>
      <c r="AP285" s="1">
        <v>0.1</v>
      </c>
      <c r="AQ285" s="1">
        <v>0.3</v>
      </c>
      <c r="AR285" s="1">
        <v>0.4</v>
      </c>
    </row>
    <row r="286" ht="15.75" customHeight="1">
      <c r="A286" s="1" t="str">
        <f>CONCATENATE(Scores!A286,"+++",Scores!C286)</f>
        <v> Penn State+++Kent State</v>
      </c>
      <c r="B286" s="1">
        <f>Scores!B286</f>
        <v>56</v>
      </c>
      <c r="C286" s="1" t="str">
        <f t="array" ref="C286">XLOOKUP(LEFT(A286,SEARCH("+",A286)-1),'Offensive Data'!$A$2:$A$134,'Offensive Data'!$D$2:$X$134)</f>
        <v>#N/A</v>
      </c>
      <c r="X286" s="1" t="str">
        <f t="array" ref="X286">XLOOKUP(MID(A286, SEARCH("+++", A286) + 3, LEN(A286)),'Defensive Data'!$A$2:$A$134,'Defensive Data'!$D$2:$X$134)</f>
        <v>#N/A</v>
      </c>
    </row>
    <row r="287" ht="15.75" customHeight="1">
      <c r="A287" s="1" t="str">
        <f>CONCATENATE(Scores!A287,"+++",Scores!C287)</f>
        <v>Pittsburgh+++Youngstown State</v>
      </c>
      <c r="B287" s="1">
        <f>Scores!B287</f>
        <v>73</v>
      </c>
      <c r="C287" s="1" t="str">
        <f t="array" ref="C287">XLOOKUP(LEFT(A287,SEARCH("+",A287)-1),'Offensive Data'!$A$2:$A$134,'Offensive Data'!$D$2:$X$134)</f>
        <v>#N/A</v>
      </c>
      <c r="X287" s="1" t="str">
        <f t="array" ref="X287">XLOOKUP(MID(A287, SEARCH("+++", A287) + 3, LEN(A287)),'Defensive Data'!$A$2:$A$134,'Defensive Data'!$D$2:$X$134)</f>
        <v>#N/A</v>
      </c>
    </row>
    <row r="288" ht="15.75" customHeight="1">
      <c r="A288" s="1" t="str">
        <f>CONCATENATE(Scores!A288,"+++",Scores!C288)</f>
        <v>Rutgers+++Virginia Tech</v>
      </c>
      <c r="B288" s="1">
        <f>Scores!B288</f>
        <v>26</v>
      </c>
      <c r="C288" s="1">
        <f t="array" ref="C288:W288">XLOOKUP(LEFT(A288,SEARCH("+",A288)-1),'Offensive Data'!$A$2:$A$134,'Offensive Data'!$D$2:$X$134)</f>
        <v>16.4</v>
      </c>
      <c r="D288" s="1">
        <v>30.4</v>
      </c>
      <c r="E288" s="1">
        <v>53.9</v>
      </c>
      <c r="F288" s="1">
        <v>207.4</v>
      </c>
      <c r="G288" s="1">
        <v>1.4</v>
      </c>
      <c r="H288" s="1">
        <v>39.8</v>
      </c>
      <c r="I288" s="1">
        <v>175.3</v>
      </c>
      <c r="J288" s="1">
        <v>4.4</v>
      </c>
      <c r="K288" s="1">
        <v>2.2</v>
      </c>
      <c r="L288" s="1">
        <v>70.2</v>
      </c>
      <c r="M288" s="1">
        <v>382.7</v>
      </c>
      <c r="N288" s="1">
        <v>5.5</v>
      </c>
      <c r="O288" s="1">
        <v>10.1</v>
      </c>
      <c r="P288" s="1">
        <v>9.9</v>
      </c>
      <c r="Q288" s="1">
        <v>2.5</v>
      </c>
      <c r="R288" s="1">
        <v>22.5</v>
      </c>
      <c r="S288" s="1">
        <v>4.0</v>
      </c>
      <c r="T288" s="1">
        <v>34.2</v>
      </c>
      <c r="U288" s="1">
        <v>0.2</v>
      </c>
      <c r="V288" s="1">
        <v>0.5</v>
      </c>
      <c r="W288" s="1">
        <v>0.7</v>
      </c>
      <c r="X288" s="1">
        <f t="array" ref="X288:AR288">XLOOKUP(MID(A288, SEARCH("+++", A288) + 3, LEN(A288)),'Defensive Data'!$A$2:$A$134,'Defensive Data'!$D$2:$X$134)</f>
        <v>16.8</v>
      </c>
      <c r="Y288" s="1">
        <v>30.8</v>
      </c>
      <c r="Z288" s="1">
        <v>54.8</v>
      </c>
      <c r="AA288" s="1">
        <v>215.9</v>
      </c>
      <c r="AB288" s="1">
        <v>1.5</v>
      </c>
      <c r="AC288" s="1">
        <v>37.5</v>
      </c>
      <c r="AD288" s="1">
        <v>147.1</v>
      </c>
      <c r="AE288" s="1">
        <v>3.9</v>
      </c>
      <c r="AF288" s="1">
        <v>1.3</v>
      </c>
      <c r="AG288" s="1">
        <v>68.3</v>
      </c>
      <c r="AH288" s="1">
        <v>363.0</v>
      </c>
      <c r="AI288" s="1">
        <v>5.3</v>
      </c>
      <c r="AJ288" s="1">
        <v>9.2</v>
      </c>
      <c r="AK288" s="1">
        <v>8.2</v>
      </c>
      <c r="AL288" s="1">
        <v>1.5</v>
      </c>
      <c r="AM288" s="1">
        <v>18.9</v>
      </c>
      <c r="AN288" s="1">
        <v>6.0</v>
      </c>
      <c r="AO288" s="1">
        <v>54.3</v>
      </c>
      <c r="AP288" s="1">
        <v>0.8</v>
      </c>
      <c r="AQ288" s="1">
        <v>1.2</v>
      </c>
      <c r="AR288" s="1">
        <v>1.9</v>
      </c>
    </row>
    <row r="289" ht="15.75" customHeight="1">
      <c r="A289" s="1" t="str">
        <f>CONCATENATE(Scores!A289,"+++",Scores!C289)</f>
        <v>Sam Houston+++New Mexico State</v>
      </c>
      <c r="B289" s="1">
        <f>Scores!B289</f>
        <v>31</v>
      </c>
      <c r="C289" s="1">
        <f t="array" ref="C289:W289">XLOOKUP(LEFT(A289,SEARCH("+",A289)-1),'Offensive Data'!$A$2:$A$134,'Offensive Data'!$D$2:$X$134)</f>
        <v>16.7</v>
      </c>
      <c r="D289" s="1">
        <v>26.9</v>
      </c>
      <c r="E289" s="1">
        <v>62.0</v>
      </c>
      <c r="F289" s="1">
        <v>168.2</v>
      </c>
      <c r="G289" s="1">
        <v>1.2</v>
      </c>
      <c r="H289" s="1">
        <v>42.8</v>
      </c>
      <c r="I289" s="1">
        <v>179.8</v>
      </c>
      <c r="J289" s="1">
        <v>4.2</v>
      </c>
      <c r="K289" s="1">
        <v>1.6</v>
      </c>
      <c r="L289" s="1">
        <v>69.8</v>
      </c>
      <c r="M289" s="1">
        <v>347.9</v>
      </c>
      <c r="N289" s="1">
        <v>5.0</v>
      </c>
      <c r="O289" s="1">
        <v>8.0</v>
      </c>
      <c r="P289" s="1">
        <v>9.5</v>
      </c>
      <c r="Q289" s="1">
        <v>1.4</v>
      </c>
      <c r="R289" s="1">
        <v>18.8</v>
      </c>
      <c r="S289" s="1">
        <v>4.6</v>
      </c>
      <c r="T289" s="1">
        <v>37.9</v>
      </c>
      <c r="U289" s="1">
        <v>0.5</v>
      </c>
      <c r="V289" s="1">
        <v>0.7</v>
      </c>
      <c r="W289" s="1">
        <v>1.2</v>
      </c>
      <c r="X289" s="1">
        <f t="array" ref="X289:AR289">XLOOKUP(MID(A289, SEARCH("+++", A289) + 3, LEN(A289)),'Defensive Data'!$A$2:$A$134,'Defensive Data'!$D$2:$X$134)</f>
        <v>18.3</v>
      </c>
      <c r="Y289" s="1">
        <v>31.8</v>
      </c>
      <c r="Z289" s="1">
        <v>57.7</v>
      </c>
      <c r="AA289" s="1">
        <v>251.6</v>
      </c>
      <c r="AB289" s="1">
        <v>1.8</v>
      </c>
      <c r="AC289" s="1">
        <v>38.3</v>
      </c>
      <c r="AD289" s="1">
        <v>195.3</v>
      </c>
      <c r="AE289" s="1">
        <v>5.1</v>
      </c>
      <c r="AF289" s="1">
        <v>2.4</v>
      </c>
      <c r="AG289" s="1">
        <v>70.0</v>
      </c>
      <c r="AH289" s="1">
        <v>446.8</v>
      </c>
      <c r="AI289" s="1">
        <v>6.4</v>
      </c>
      <c r="AJ289" s="1">
        <v>10.3</v>
      </c>
      <c r="AK289" s="1">
        <v>9.3</v>
      </c>
      <c r="AL289" s="1">
        <v>1.6</v>
      </c>
      <c r="AM289" s="1">
        <v>21.3</v>
      </c>
      <c r="AN289" s="1">
        <v>7.0</v>
      </c>
      <c r="AO289" s="1">
        <v>75.6</v>
      </c>
      <c r="AP289" s="1">
        <v>0.1</v>
      </c>
      <c r="AQ289" s="1">
        <v>0.8</v>
      </c>
      <c r="AR289" s="1">
        <v>0.8</v>
      </c>
    </row>
    <row r="290" ht="15.75" customHeight="1">
      <c r="A290" s="1" t="str">
        <f>CONCATENATE(Scores!A290,"+++",Scores!C290)</f>
        <v>South Carolina+++Akron</v>
      </c>
      <c r="B290" s="1">
        <f>Scores!B290</f>
        <v>50</v>
      </c>
      <c r="C290" s="1">
        <f t="array" ref="C290:W290">XLOOKUP(LEFT(A290,SEARCH("+",A290)-1),'Offensive Data'!$A$2:$A$134,'Offensive Data'!$D$2:$X$134)</f>
        <v>17.2</v>
      </c>
      <c r="D290" s="1">
        <v>26.3</v>
      </c>
      <c r="E290" s="1">
        <v>65.5</v>
      </c>
      <c r="F290" s="1">
        <v>223.4</v>
      </c>
      <c r="G290" s="1">
        <v>1.6</v>
      </c>
      <c r="H290" s="1">
        <v>42.4</v>
      </c>
      <c r="I290" s="1">
        <v>184.4</v>
      </c>
      <c r="J290" s="1">
        <v>4.4</v>
      </c>
      <c r="K290" s="1">
        <v>2.0</v>
      </c>
      <c r="L290" s="1">
        <v>68.7</v>
      </c>
      <c r="M290" s="1">
        <v>407.8</v>
      </c>
      <c r="N290" s="1">
        <v>5.9</v>
      </c>
      <c r="O290" s="1">
        <v>9.6</v>
      </c>
      <c r="P290" s="1">
        <v>10.3</v>
      </c>
      <c r="Q290" s="1">
        <v>1.6</v>
      </c>
      <c r="R290" s="1">
        <v>21.5</v>
      </c>
      <c r="S290" s="1">
        <v>6.7</v>
      </c>
      <c r="T290" s="1">
        <v>58.0</v>
      </c>
      <c r="U290" s="1">
        <v>1.1</v>
      </c>
      <c r="V290" s="1">
        <v>0.5</v>
      </c>
      <c r="W290" s="1">
        <v>1.6</v>
      </c>
      <c r="X290" s="1">
        <f t="array" ref="X290:AR290">XLOOKUP(MID(A290, SEARCH("+++", A290) + 3, LEN(A290)),'Defensive Data'!$A$2:$A$134,'Defensive Data'!$D$2:$X$134)</f>
        <v>18.4</v>
      </c>
      <c r="Y290" s="1">
        <v>28.6</v>
      </c>
      <c r="Z290" s="1">
        <v>64.4</v>
      </c>
      <c r="AA290" s="1">
        <v>231.1</v>
      </c>
      <c r="AB290" s="1">
        <v>2.0</v>
      </c>
      <c r="AC290" s="1">
        <v>39.7</v>
      </c>
      <c r="AD290" s="1">
        <v>183.3</v>
      </c>
      <c r="AE290" s="1">
        <v>4.6</v>
      </c>
      <c r="AF290" s="1">
        <v>1.9</v>
      </c>
      <c r="AG290" s="1">
        <v>68.3</v>
      </c>
      <c r="AH290" s="1">
        <v>414.4</v>
      </c>
      <c r="AI290" s="1">
        <v>6.1</v>
      </c>
      <c r="AJ290" s="1">
        <v>10.2</v>
      </c>
      <c r="AK290" s="1">
        <v>8.7</v>
      </c>
      <c r="AL290" s="1">
        <v>1.6</v>
      </c>
      <c r="AM290" s="1">
        <v>20.4</v>
      </c>
      <c r="AN290" s="1">
        <v>6.7</v>
      </c>
      <c r="AO290" s="1">
        <v>53.4</v>
      </c>
      <c r="AP290" s="1">
        <v>0.6</v>
      </c>
      <c r="AQ290" s="1">
        <v>0.3</v>
      </c>
      <c r="AR290" s="1">
        <v>0.8</v>
      </c>
    </row>
    <row r="291" ht="15.75" customHeight="1">
      <c r="A291" s="1" t="str">
        <f>CONCATENATE(Scores!A291,"+++",Scores!C291)</f>
        <v>Southern Methodist+++Texas Christian</v>
      </c>
      <c r="B291" s="1">
        <f>Scores!B291</f>
        <v>66</v>
      </c>
      <c r="C291" s="1" t="str">
        <f t="array" ref="C291">XLOOKUP(LEFT(A291,SEARCH("+",A291)-1),'Offensive Data'!$A$2:$A$134,'Offensive Data'!$D$2:$X$134)</f>
        <v>#N/A</v>
      </c>
      <c r="X291" s="1" t="str">
        <f t="array" ref="X291">XLOOKUP(MID(A291, SEARCH("+++", A291) + 3, LEN(A291)),'Defensive Data'!$A$2:$A$134,'Defensive Data'!$D$2:$X$134)</f>
        <v>#N/A</v>
      </c>
    </row>
    <row r="292" ht="15.75" customHeight="1">
      <c r="A292" s="1" t="str">
        <f>CONCATENATE(Scores!A292,"+++",Scores!C292)</f>
        <v>Temple+++Utah State</v>
      </c>
      <c r="B292" s="1">
        <f>Scores!B292</f>
        <v>45</v>
      </c>
      <c r="C292" s="1">
        <f t="array" ref="C292:W292">XLOOKUP(LEFT(A292,SEARCH("+",A292)-1),'Offensive Data'!$A$2:$A$134,'Offensive Data'!$D$2:$X$134)</f>
        <v>20.2</v>
      </c>
      <c r="D292" s="1">
        <v>34.3</v>
      </c>
      <c r="E292" s="1">
        <v>58.9</v>
      </c>
      <c r="F292" s="1">
        <v>216.0</v>
      </c>
      <c r="G292" s="1">
        <v>1.3</v>
      </c>
      <c r="H292" s="1">
        <v>32.2</v>
      </c>
      <c r="I292" s="1">
        <v>92.8</v>
      </c>
      <c r="J292" s="1">
        <v>2.9</v>
      </c>
      <c r="K292" s="1">
        <v>0.8</v>
      </c>
      <c r="L292" s="1">
        <v>66.4</v>
      </c>
      <c r="M292" s="1">
        <v>308.8</v>
      </c>
      <c r="N292" s="1">
        <v>4.6</v>
      </c>
      <c r="O292" s="1">
        <v>9.7</v>
      </c>
      <c r="P292" s="1">
        <v>4.6</v>
      </c>
      <c r="Q292" s="1">
        <v>1.3</v>
      </c>
      <c r="R292" s="1">
        <v>15.6</v>
      </c>
      <c r="S292" s="1">
        <v>5.6</v>
      </c>
      <c r="T292" s="1">
        <v>45.1</v>
      </c>
      <c r="U292" s="1">
        <v>0.9</v>
      </c>
      <c r="V292" s="1">
        <v>1.2</v>
      </c>
      <c r="W292" s="1">
        <v>2.1</v>
      </c>
      <c r="X292" s="1">
        <f t="array" ref="X292:AR292">XLOOKUP(MID(A292, SEARCH("+++", A292) + 3, LEN(A292)),'Defensive Data'!$A$2:$A$134,'Defensive Data'!$D$2:$X$134)</f>
        <v>22.3</v>
      </c>
      <c r="Y292" s="1">
        <v>32.8</v>
      </c>
      <c r="Z292" s="1">
        <v>67.9</v>
      </c>
      <c r="AA292" s="1">
        <v>255.6</v>
      </c>
      <c r="AB292" s="1">
        <v>2.3</v>
      </c>
      <c r="AC292" s="1">
        <v>39.8</v>
      </c>
      <c r="AD292" s="1">
        <v>214.5</v>
      </c>
      <c r="AE292" s="1">
        <v>5.4</v>
      </c>
      <c r="AF292" s="1">
        <v>2.3</v>
      </c>
      <c r="AG292" s="1">
        <v>72.6</v>
      </c>
      <c r="AH292" s="1">
        <v>470.1</v>
      </c>
      <c r="AI292" s="1">
        <v>6.5</v>
      </c>
      <c r="AJ292" s="1">
        <v>12.3</v>
      </c>
      <c r="AK292" s="1">
        <v>9.3</v>
      </c>
      <c r="AL292" s="1">
        <v>1.8</v>
      </c>
      <c r="AM292" s="1">
        <v>23.4</v>
      </c>
      <c r="AN292" s="1">
        <v>7.5</v>
      </c>
      <c r="AO292" s="1">
        <v>59.4</v>
      </c>
      <c r="AP292" s="1">
        <v>0.3</v>
      </c>
      <c r="AQ292" s="1">
        <v>1.1</v>
      </c>
      <c r="AR292" s="1">
        <v>1.3</v>
      </c>
    </row>
    <row r="293" ht="15.75" customHeight="1">
      <c r="A293" s="1" t="str">
        <f>CONCATENATE(Scores!A293,"+++",Scores!C293)</f>
        <v> Tennessee+++ Oklahoma</v>
      </c>
      <c r="B293" s="1">
        <f>Scores!B293</f>
        <v>25</v>
      </c>
      <c r="C293" s="1" t="str">
        <f t="array" ref="C293">XLOOKUP(LEFT(A293,SEARCH("+",A293)-1),'Offensive Data'!$A$2:$A$134,'Offensive Data'!$D$2:$X$134)</f>
        <v>#N/A</v>
      </c>
      <c r="X293" s="1" t="str">
        <f t="array" ref="X293">XLOOKUP(MID(A293, SEARCH("+++", A293) + 3, LEN(A293)),'Defensive Data'!$A$2:$A$134,'Defensive Data'!$D$2:$X$134)</f>
        <v>#N/A</v>
      </c>
    </row>
    <row r="294" ht="15.75" customHeight="1">
      <c r="A294" s="1" t="str">
        <f>CONCATENATE(Scores!A294,"+++",Scores!C294)</f>
        <v>Texas+++Louisiana-Monroe</v>
      </c>
      <c r="B294" s="1">
        <f>Scores!B294</f>
        <v>51</v>
      </c>
      <c r="C294" s="1">
        <f t="array" ref="C294:W294">XLOOKUP(LEFT(A294,SEARCH("+",A294)-1),'Offensive Data'!$A$2:$A$134,'Offensive Data'!$D$2:$X$134)</f>
        <v>22.3</v>
      </c>
      <c r="D294" s="1">
        <v>33.8</v>
      </c>
      <c r="E294" s="1">
        <v>66.0</v>
      </c>
      <c r="F294" s="1">
        <v>278.8</v>
      </c>
      <c r="G294" s="1">
        <v>2.5</v>
      </c>
      <c r="H294" s="1">
        <v>36.6</v>
      </c>
      <c r="I294" s="1">
        <v>158.8</v>
      </c>
      <c r="J294" s="1">
        <v>4.3</v>
      </c>
      <c r="K294" s="1">
        <v>1.6</v>
      </c>
      <c r="L294" s="1">
        <v>70.4</v>
      </c>
      <c r="M294" s="1">
        <v>437.5</v>
      </c>
      <c r="N294" s="1">
        <v>6.2</v>
      </c>
      <c r="O294" s="1">
        <v>11.8</v>
      </c>
      <c r="P294" s="1">
        <v>8.6</v>
      </c>
      <c r="Q294" s="1">
        <v>1.8</v>
      </c>
      <c r="R294" s="1">
        <v>22.1</v>
      </c>
      <c r="S294" s="1">
        <v>6.4</v>
      </c>
      <c r="T294" s="1">
        <v>51.8</v>
      </c>
      <c r="U294" s="1">
        <v>0.8</v>
      </c>
      <c r="V294" s="1">
        <v>0.9</v>
      </c>
      <c r="W294" s="1">
        <v>1.6</v>
      </c>
      <c r="X294" s="1">
        <f t="array" ref="X294:AR294">XLOOKUP(MID(A294, SEARCH("+++", A294) + 3, LEN(A294)),'Defensive Data'!$A$2:$A$134,'Defensive Data'!$D$2:$X$134)</f>
        <v>16</v>
      </c>
      <c r="Y294" s="1">
        <v>27.3</v>
      </c>
      <c r="Z294" s="1">
        <v>58.7</v>
      </c>
      <c r="AA294" s="1">
        <v>183.9</v>
      </c>
      <c r="AB294" s="1">
        <v>1.3</v>
      </c>
      <c r="AC294" s="1">
        <v>41.2</v>
      </c>
      <c r="AD294" s="1">
        <v>200.1</v>
      </c>
      <c r="AE294" s="1">
        <v>4.9</v>
      </c>
      <c r="AF294" s="1">
        <v>2.3</v>
      </c>
      <c r="AG294" s="1">
        <v>68.4</v>
      </c>
      <c r="AH294" s="1">
        <v>384.0</v>
      </c>
      <c r="AI294" s="1">
        <v>5.6</v>
      </c>
      <c r="AJ294" s="1">
        <v>8.0</v>
      </c>
      <c r="AK294" s="1">
        <v>12.1</v>
      </c>
      <c r="AL294" s="1">
        <v>1.3</v>
      </c>
      <c r="AM294" s="1">
        <v>21.3</v>
      </c>
      <c r="AN294" s="1">
        <v>6.6</v>
      </c>
      <c r="AO294" s="1">
        <v>53.1</v>
      </c>
      <c r="AP294" s="1">
        <v>0.7</v>
      </c>
      <c r="AQ294" s="1">
        <v>0.5</v>
      </c>
      <c r="AR294" s="1">
        <v>1.2</v>
      </c>
    </row>
    <row r="295" ht="15.75" customHeight="1">
      <c r="A295" s="1" t="str">
        <f>CONCATENATE(Scores!A295,"+++",Scores!C295)</f>
        <v> Texas A&amp;M+++Bowling Green</v>
      </c>
      <c r="B295" s="1">
        <f>Scores!B295</f>
        <v>26</v>
      </c>
      <c r="C295" s="1" t="str">
        <f t="array" ref="C295">XLOOKUP(LEFT(A295,SEARCH("+",A295)-1),'Offensive Data'!$A$2:$A$134,'Offensive Data'!$D$2:$X$134)</f>
        <v>#N/A</v>
      </c>
      <c r="X295" s="1" t="str">
        <f t="array" ref="X295">XLOOKUP(MID(A295, SEARCH("+++", A295) + 3, LEN(A295)),'Defensive Data'!$A$2:$A$134,'Defensive Data'!$D$2:$X$134)</f>
        <v>#N/A</v>
      </c>
    </row>
    <row r="296" ht="15.75" customHeight="1">
      <c r="A296" s="1" t="str">
        <f>CONCATENATE(Scores!A296,"+++",Scores!C296)</f>
        <v>Texas Tech+++Arizona State</v>
      </c>
      <c r="B296" s="1">
        <f>Scores!B296</f>
        <v>30</v>
      </c>
      <c r="C296" s="1">
        <f t="array" ref="C296:W296">XLOOKUP(LEFT(A296,SEARCH("+",A296)-1),'Offensive Data'!$A$2:$A$134,'Offensive Data'!$D$2:$X$134)</f>
        <v>25.8</v>
      </c>
      <c r="D296" s="1">
        <v>41.2</v>
      </c>
      <c r="E296" s="1">
        <v>62.7</v>
      </c>
      <c r="F296" s="1">
        <v>296.7</v>
      </c>
      <c r="G296" s="1">
        <v>2.4</v>
      </c>
      <c r="H296" s="1">
        <v>36.5</v>
      </c>
      <c r="I296" s="1">
        <v>166.0</v>
      </c>
      <c r="J296" s="1">
        <v>4.6</v>
      </c>
      <c r="K296" s="1">
        <v>2.0</v>
      </c>
      <c r="L296" s="1">
        <v>77.7</v>
      </c>
      <c r="M296" s="1">
        <v>462.7</v>
      </c>
      <c r="N296" s="1">
        <v>6.0</v>
      </c>
      <c r="O296" s="1">
        <v>13.4</v>
      </c>
      <c r="P296" s="1">
        <v>9.5</v>
      </c>
      <c r="Q296" s="1">
        <v>1.6</v>
      </c>
      <c r="R296" s="1">
        <v>24.5</v>
      </c>
      <c r="S296" s="1">
        <v>7.3</v>
      </c>
      <c r="T296" s="1">
        <v>60.9</v>
      </c>
      <c r="U296" s="1">
        <v>0.8</v>
      </c>
      <c r="V296" s="1">
        <v>0.8</v>
      </c>
      <c r="W296" s="1">
        <v>1.6</v>
      </c>
      <c r="X296" s="1">
        <f t="array" ref="X296:AR296">XLOOKUP(MID(A296, SEARCH("+++", A296) + 3, LEN(A296)),'Defensive Data'!$A$2:$A$134,'Defensive Data'!$D$2:$X$134)</f>
        <v>20.2</v>
      </c>
      <c r="Y296" s="1">
        <v>34.2</v>
      </c>
      <c r="Z296" s="1">
        <v>59.1</v>
      </c>
      <c r="AA296" s="1">
        <v>226.7</v>
      </c>
      <c r="AB296" s="1">
        <v>1.4</v>
      </c>
      <c r="AC296" s="1">
        <v>30.7</v>
      </c>
      <c r="AD296" s="1">
        <v>112.9</v>
      </c>
      <c r="AE296" s="1">
        <v>3.7</v>
      </c>
      <c r="AF296" s="1">
        <v>1.4</v>
      </c>
      <c r="AG296" s="1">
        <v>64.9</v>
      </c>
      <c r="AH296" s="1">
        <v>339.6</v>
      </c>
      <c r="AI296" s="1">
        <v>5.2</v>
      </c>
      <c r="AJ296" s="1">
        <v>11.6</v>
      </c>
      <c r="AK296" s="1">
        <v>6.8</v>
      </c>
      <c r="AL296" s="1">
        <v>1.9</v>
      </c>
      <c r="AM296" s="1">
        <v>20.3</v>
      </c>
      <c r="AN296" s="1">
        <v>5.4</v>
      </c>
      <c r="AO296" s="1">
        <v>48.4</v>
      </c>
      <c r="AP296" s="1">
        <v>0.5</v>
      </c>
      <c r="AQ296" s="1">
        <v>1.1</v>
      </c>
      <c r="AR296" s="1">
        <v>1.6</v>
      </c>
    </row>
    <row r="297" ht="15.75" customHeight="1">
      <c r="A297" s="1" t="str">
        <f>CONCATENATE(Scores!A297,"+++",Scores!C297)</f>
        <v>Texas-San Antonio+++Houston Baptist</v>
      </c>
      <c r="B297" s="1">
        <f>Scores!B297</f>
        <v>45</v>
      </c>
      <c r="C297" s="1" t="str">
        <f t="array" ref="C297">XLOOKUP(LEFT(A297,SEARCH("+",A297)-1),'Offensive Data'!$A$2:$A$134,'Offensive Data'!$D$2:$X$134)</f>
        <v>#N/A</v>
      </c>
      <c r="X297" s="1" t="str">
        <f t="array" ref="X297">XLOOKUP(MID(A297, SEARCH("+++", A297) + 3, LEN(A297)),'Defensive Data'!$A$2:$A$134,'Defensive Data'!$D$2:$X$134)</f>
        <v>#N/A</v>
      </c>
    </row>
    <row r="298" ht="15.75" customHeight="1">
      <c r="A298" s="1" t="str">
        <f>CONCATENATE(Scores!A298,"+++",Scores!C298)</f>
        <v>Troy+++Florida A&amp;M</v>
      </c>
      <c r="B298" s="1">
        <f>Scores!B298</f>
        <v>34</v>
      </c>
      <c r="C298" s="1">
        <f t="array" ref="C298:W298">XLOOKUP(LEFT(A298,SEARCH("+",A298)-1),'Offensive Data'!$A$2:$A$134,'Offensive Data'!$D$2:$X$134)</f>
        <v>17.8</v>
      </c>
      <c r="D298" s="1">
        <v>28.3</v>
      </c>
      <c r="E298" s="1">
        <v>62.8</v>
      </c>
      <c r="F298" s="1">
        <v>213.0</v>
      </c>
      <c r="G298" s="1">
        <v>1.8</v>
      </c>
      <c r="H298" s="1">
        <v>36.3</v>
      </c>
      <c r="I298" s="1">
        <v>156.2</v>
      </c>
      <c r="J298" s="1">
        <v>4.3</v>
      </c>
      <c r="K298" s="1">
        <v>1.4</v>
      </c>
      <c r="L298" s="1">
        <v>64.6</v>
      </c>
      <c r="M298" s="1">
        <v>369.2</v>
      </c>
      <c r="N298" s="1">
        <v>5.7</v>
      </c>
      <c r="O298" s="1">
        <v>10.1</v>
      </c>
      <c r="P298" s="1">
        <v>8.8</v>
      </c>
      <c r="Q298" s="1">
        <v>1.5</v>
      </c>
      <c r="R298" s="1">
        <v>20.3</v>
      </c>
      <c r="S298" s="1">
        <v>6.7</v>
      </c>
      <c r="T298" s="1">
        <v>58.8</v>
      </c>
      <c r="U298" s="1">
        <v>0.6</v>
      </c>
      <c r="V298" s="1">
        <v>0.8</v>
      </c>
      <c r="W298" s="1">
        <v>1.3</v>
      </c>
      <c r="X298" s="1" t="str">
        <f t="array" ref="X298">XLOOKUP(MID(A298, SEARCH("+++", A298) + 3, LEN(A298)),'Defensive Data'!$A$2:$A$134,'Defensive Data'!$D$2:$X$134)</f>
        <v>#N/A</v>
      </c>
    </row>
    <row r="299" ht="15.75" customHeight="1">
      <c r="A299" s="1" t="str">
        <f>CONCATENATE(Scores!A299,"+++",Scores!C299)</f>
        <v>Tulane+++Louisiana</v>
      </c>
      <c r="B299" s="1">
        <f>Scores!B299</f>
        <v>41</v>
      </c>
      <c r="C299" s="1">
        <f t="array" ref="C299:W299">XLOOKUP(LEFT(A299,SEARCH("+",A299)-1),'Offensive Data'!$A$2:$A$134,'Offensive Data'!$D$2:$X$134)</f>
        <v>14.8</v>
      </c>
      <c r="D299" s="1">
        <v>23.5</v>
      </c>
      <c r="E299" s="1">
        <v>62.9</v>
      </c>
      <c r="F299" s="1">
        <v>209.4</v>
      </c>
      <c r="G299" s="1">
        <v>1.8</v>
      </c>
      <c r="H299" s="1">
        <v>40.5</v>
      </c>
      <c r="I299" s="1">
        <v>195.6</v>
      </c>
      <c r="J299" s="1">
        <v>4.8</v>
      </c>
      <c r="K299" s="1">
        <v>2.3</v>
      </c>
      <c r="L299" s="1">
        <v>64.0</v>
      </c>
      <c r="M299" s="1">
        <v>405.0</v>
      </c>
      <c r="N299" s="1">
        <v>6.3</v>
      </c>
      <c r="O299" s="1">
        <v>8.5</v>
      </c>
      <c r="P299" s="1">
        <v>10.5</v>
      </c>
      <c r="Q299" s="1">
        <v>1.8</v>
      </c>
      <c r="R299" s="1">
        <v>20.8</v>
      </c>
      <c r="S299" s="1">
        <v>6.1</v>
      </c>
      <c r="T299" s="1">
        <v>50.1</v>
      </c>
      <c r="U299" s="1">
        <v>0.4</v>
      </c>
      <c r="V299" s="1">
        <v>0.6</v>
      </c>
      <c r="W299" s="1">
        <v>1.1</v>
      </c>
      <c r="X299" s="1">
        <f t="array" ref="X299:AR299">XLOOKUP(MID(A299, SEARCH("+++", A299) + 3, LEN(A299)),'Defensive Data'!$A$2:$A$134,'Defensive Data'!$D$2:$X$134)</f>
        <v>19.5</v>
      </c>
      <c r="Y299" s="1">
        <v>30.7</v>
      </c>
      <c r="Z299" s="1">
        <v>63.5</v>
      </c>
      <c r="AA299" s="1">
        <v>194.2</v>
      </c>
      <c r="AB299" s="1">
        <v>1.4</v>
      </c>
      <c r="AC299" s="1">
        <v>34.1</v>
      </c>
      <c r="AD299" s="1">
        <v>154.2</v>
      </c>
      <c r="AE299" s="1">
        <v>4.5</v>
      </c>
      <c r="AF299" s="1">
        <v>1.4</v>
      </c>
      <c r="AG299" s="1">
        <v>64.8</v>
      </c>
      <c r="AH299" s="1">
        <v>348.4</v>
      </c>
      <c r="AI299" s="1">
        <v>5.4</v>
      </c>
      <c r="AJ299" s="1">
        <v>9.4</v>
      </c>
      <c r="AK299" s="1">
        <v>9.4</v>
      </c>
      <c r="AL299" s="1">
        <v>1.4</v>
      </c>
      <c r="AM299" s="1">
        <v>20.1</v>
      </c>
      <c r="AN299" s="1">
        <v>5.4</v>
      </c>
      <c r="AO299" s="1">
        <v>46.2</v>
      </c>
      <c r="AP299" s="1">
        <v>0.4</v>
      </c>
      <c r="AQ299" s="1">
        <v>1.1</v>
      </c>
      <c r="AR299" s="1">
        <v>1.5</v>
      </c>
    </row>
    <row r="300" ht="15.75" customHeight="1">
      <c r="A300" s="1" t="str">
        <f>CONCATENATE(Scores!A300,"+++",Scores!C300)</f>
        <v>Tulsa+++Louisiana Tech</v>
      </c>
      <c r="B300" s="1">
        <f>Scores!B300</f>
        <v>23</v>
      </c>
      <c r="C300" s="1">
        <f t="array" ref="C300:W300">XLOOKUP(LEFT(A300,SEARCH("+",A300)-1),'Offensive Data'!$A$2:$A$134,'Offensive Data'!$D$2:$X$134)</f>
        <v>20.7</v>
      </c>
      <c r="D300" s="1">
        <v>36.5</v>
      </c>
      <c r="E300" s="1">
        <v>56.6</v>
      </c>
      <c r="F300" s="1">
        <v>238.6</v>
      </c>
      <c r="G300" s="1">
        <v>1.9</v>
      </c>
      <c r="H300" s="1">
        <v>37.6</v>
      </c>
      <c r="I300" s="1">
        <v>151.1</v>
      </c>
      <c r="J300" s="1">
        <v>4.0</v>
      </c>
      <c r="K300" s="1">
        <v>0.9</v>
      </c>
      <c r="L300" s="1">
        <v>74.1</v>
      </c>
      <c r="M300" s="1">
        <v>389.7</v>
      </c>
      <c r="N300" s="1">
        <v>5.3</v>
      </c>
      <c r="O300" s="1">
        <v>10.2</v>
      </c>
      <c r="P300" s="1">
        <v>7.6</v>
      </c>
      <c r="Q300" s="1">
        <v>2.8</v>
      </c>
      <c r="R300" s="1">
        <v>20.6</v>
      </c>
      <c r="S300" s="1">
        <v>5.9</v>
      </c>
      <c r="T300" s="1">
        <v>51.0</v>
      </c>
      <c r="U300" s="1">
        <v>0.8</v>
      </c>
      <c r="V300" s="1">
        <v>1.0</v>
      </c>
      <c r="W300" s="1">
        <v>1.8</v>
      </c>
      <c r="X300" s="1">
        <f t="array" ref="X300:AR300">XLOOKUP(MID(A300, SEARCH("+++", A300) + 3, LEN(A300)),'Defensive Data'!$A$2:$A$134,'Defensive Data'!$D$2:$X$134)</f>
        <v>15.7</v>
      </c>
      <c r="Y300" s="1">
        <v>28.2</v>
      </c>
      <c r="Z300" s="1">
        <v>55.7</v>
      </c>
      <c r="AA300" s="1">
        <v>172.8</v>
      </c>
      <c r="AB300" s="1">
        <v>0.8</v>
      </c>
      <c r="AC300" s="1">
        <v>37.8</v>
      </c>
      <c r="AD300" s="1">
        <v>135.5</v>
      </c>
      <c r="AE300" s="1">
        <v>3.6</v>
      </c>
      <c r="AF300" s="1">
        <v>1.6</v>
      </c>
      <c r="AG300" s="1">
        <v>65.9</v>
      </c>
      <c r="AH300" s="1">
        <v>308.4</v>
      </c>
      <c r="AI300" s="1">
        <v>4.7</v>
      </c>
      <c r="AJ300" s="1">
        <v>7.6</v>
      </c>
      <c r="AK300" s="1">
        <v>8.2</v>
      </c>
      <c r="AL300" s="1">
        <v>1.9</v>
      </c>
      <c r="AM300" s="1">
        <v>17.8</v>
      </c>
      <c r="AN300" s="1">
        <v>4.8</v>
      </c>
      <c r="AO300" s="1">
        <v>41.8</v>
      </c>
      <c r="AP300" s="1">
        <v>0.9</v>
      </c>
      <c r="AQ300" s="1">
        <v>0.4</v>
      </c>
      <c r="AR300" s="1">
        <v>1.3</v>
      </c>
    </row>
    <row r="301" ht="15.75" customHeight="1">
      <c r="A301" s="1" t="str">
        <f>CONCATENATE(Scores!A301,"+++",Scores!C301)</f>
        <v> Utah+++ Oklahoma State</v>
      </c>
      <c r="B301" s="1">
        <f>Scores!B301</f>
        <v>22</v>
      </c>
      <c r="C301" s="1" t="str">
        <f t="array" ref="C301">XLOOKUP(LEFT(A301,SEARCH("+",A301)-1),'Offensive Data'!$A$2:$A$134,'Offensive Data'!$D$2:$X$134)</f>
        <v>#N/A</v>
      </c>
      <c r="X301" s="1" t="str">
        <f t="array" ref="X301">XLOOKUP(MID(A301, SEARCH("+++", A301) + 3, LEN(A301)),'Defensive Data'!$A$2:$A$134,'Defensive Data'!$D$2:$X$134)</f>
        <v>#N/A</v>
      </c>
    </row>
    <row r="302" ht="15.75" customHeight="1">
      <c r="A302" s="1" t="str">
        <f>CONCATENATE(Scores!A302,"+++",Scores!C302)</f>
        <v>Virginia+++Coastal Carolina</v>
      </c>
      <c r="B302" s="1">
        <f>Scores!B302</f>
        <v>43</v>
      </c>
      <c r="C302" s="1">
        <f t="array" ref="C302:W302">XLOOKUP(LEFT(A302,SEARCH("+",A302)-1),'Offensive Data'!$A$2:$A$134,'Offensive Data'!$D$2:$X$134)</f>
        <v>20.5</v>
      </c>
      <c r="D302" s="1">
        <v>33.4</v>
      </c>
      <c r="E302" s="1">
        <v>61.3</v>
      </c>
      <c r="F302" s="1">
        <v>229.0</v>
      </c>
      <c r="G302" s="1">
        <v>1.3</v>
      </c>
      <c r="H302" s="1">
        <v>36.0</v>
      </c>
      <c r="I302" s="1">
        <v>131.9</v>
      </c>
      <c r="J302" s="1">
        <v>3.7</v>
      </c>
      <c r="K302" s="1">
        <v>1.2</v>
      </c>
      <c r="L302" s="1">
        <v>69.4</v>
      </c>
      <c r="M302" s="1">
        <v>360.9</v>
      </c>
      <c r="N302" s="1">
        <v>5.2</v>
      </c>
      <c r="O302" s="1">
        <v>9.7</v>
      </c>
      <c r="P302" s="1">
        <v>8.3</v>
      </c>
      <c r="Q302" s="1">
        <v>1.6</v>
      </c>
      <c r="R302" s="1">
        <v>19.5</v>
      </c>
      <c r="S302" s="1">
        <v>5.2</v>
      </c>
      <c r="T302" s="1">
        <v>45.3</v>
      </c>
      <c r="U302" s="1">
        <v>0.4</v>
      </c>
      <c r="V302" s="1">
        <v>1.2</v>
      </c>
      <c r="W302" s="1">
        <v>1.6</v>
      </c>
      <c r="X302" s="1">
        <f t="array" ref="X302:AR302">XLOOKUP(MID(A302, SEARCH("+++", A302) + 3, LEN(A302)),'Defensive Data'!$A$2:$A$134,'Defensive Data'!$D$2:$X$134)</f>
        <v>18.3</v>
      </c>
      <c r="Y302" s="1">
        <v>29.9</v>
      </c>
      <c r="Z302" s="1">
        <v>61.2</v>
      </c>
      <c r="AA302" s="1">
        <v>227.8</v>
      </c>
      <c r="AB302" s="1">
        <v>1.8</v>
      </c>
      <c r="AC302" s="1">
        <v>39.4</v>
      </c>
      <c r="AD302" s="1">
        <v>186.8</v>
      </c>
      <c r="AE302" s="1">
        <v>4.7</v>
      </c>
      <c r="AF302" s="1">
        <v>1.7</v>
      </c>
      <c r="AG302" s="1">
        <v>69.3</v>
      </c>
      <c r="AH302" s="1">
        <v>414.6</v>
      </c>
      <c r="AI302" s="1">
        <v>6.0</v>
      </c>
      <c r="AJ302" s="1">
        <v>9.6</v>
      </c>
      <c r="AK302" s="1">
        <v>9.9</v>
      </c>
      <c r="AL302" s="1">
        <v>1.5</v>
      </c>
      <c r="AM302" s="1">
        <v>21.0</v>
      </c>
      <c r="AN302" s="1">
        <v>6.3</v>
      </c>
      <c r="AO302" s="1">
        <v>52.4</v>
      </c>
      <c r="AP302" s="1">
        <v>0.8</v>
      </c>
      <c r="AQ302" s="1">
        <v>0.8</v>
      </c>
      <c r="AR302" s="1">
        <v>1.7</v>
      </c>
    </row>
    <row r="303" ht="15.75" customHeight="1">
      <c r="A303" s="1" t="str">
        <f>CONCATENATE(Scores!A303,"+++",Scores!C303)</f>
        <v>Washington+++Northwestern</v>
      </c>
      <c r="B303" s="1">
        <f>Scores!B303</f>
        <v>24</v>
      </c>
      <c r="C303" s="1">
        <f t="array" ref="C303:W303">XLOOKUP(LEFT(A303,SEARCH("+",A303)-1),'Offensive Data'!$A$2:$A$134,'Offensive Data'!$D$2:$X$134)</f>
        <v>23.2</v>
      </c>
      <c r="D303" s="1">
        <v>32.1</v>
      </c>
      <c r="E303" s="1">
        <v>72.4</v>
      </c>
      <c r="F303" s="1">
        <v>261.7</v>
      </c>
      <c r="G303" s="1">
        <v>1.7</v>
      </c>
      <c r="H303" s="1">
        <v>32.5</v>
      </c>
      <c r="I303" s="1">
        <v>128.8</v>
      </c>
      <c r="J303" s="1">
        <v>4.0</v>
      </c>
      <c r="K303" s="1">
        <v>1.1</v>
      </c>
      <c r="L303" s="1">
        <v>64.6</v>
      </c>
      <c r="M303" s="1">
        <v>390.5</v>
      </c>
      <c r="N303" s="1">
        <v>6.0</v>
      </c>
      <c r="O303" s="1">
        <v>11.5</v>
      </c>
      <c r="P303" s="1">
        <v>8.0</v>
      </c>
      <c r="Q303" s="1">
        <v>1.2</v>
      </c>
      <c r="R303" s="1">
        <v>20.7</v>
      </c>
      <c r="S303" s="1">
        <v>5.8</v>
      </c>
      <c r="T303" s="1">
        <v>51.8</v>
      </c>
      <c r="U303" s="1">
        <v>0.3</v>
      </c>
      <c r="V303" s="1">
        <v>0.6</v>
      </c>
      <c r="W303" s="1">
        <v>0.9</v>
      </c>
      <c r="X303" s="1">
        <f t="array" ref="X303:AR303">XLOOKUP(MID(A303, SEARCH("+++", A303) + 3, LEN(A303)),'Defensive Data'!$A$2:$A$134,'Defensive Data'!$D$2:$X$134)</f>
        <v>20.4</v>
      </c>
      <c r="Y303" s="1">
        <v>32.6</v>
      </c>
      <c r="Z303" s="1">
        <v>62.7</v>
      </c>
      <c r="AA303" s="1">
        <v>231.8</v>
      </c>
      <c r="AB303" s="1">
        <v>1.3</v>
      </c>
      <c r="AC303" s="1">
        <v>32.5</v>
      </c>
      <c r="AD303" s="1">
        <v>129.9</v>
      </c>
      <c r="AE303" s="1">
        <v>4.0</v>
      </c>
      <c r="AF303" s="1">
        <v>1.8</v>
      </c>
      <c r="AG303" s="1">
        <v>65.1</v>
      </c>
      <c r="AH303" s="1">
        <v>361.8</v>
      </c>
      <c r="AI303" s="1">
        <v>5.6</v>
      </c>
      <c r="AJ303" s="1">
        <v>10.8</v>
      </c>
      <c r="AK303" s="1">
        <v>7.4</v>
      </c>
      <c r="AL303" s="1">
        <v>0.8</v>
      </c>
      <c r="AM303" s="1">
        <v>19.1</v>
      </c>
      <c r="AN303" s="1">
        <v>3.8</v>
      </c>
      <c r="AO303" s="1">
        <v>32.2</v>
      </c>
      <c r="AP303" s="1">
        <v>0.5</v>
      </c>
      <c r="AQ303" s="1">
        <v>0.8</v>
      </c>
      <c r="AR303" s="1">
        <v>1.3</v>
      </c>
    </row>
    <row r="304" ht="15.75" customHeight="1">
      <c r="A304" s="1" t="str">
        <f>CONCATENATE(Scores!A304,"+++",Scores!C304)</f>
        <v>West Virginia+++Kansas</v>
      </c>
      <c r="B304" s="1">
        <f>Scores!B304</f>
        <v>32</v>
      </c>
      <c r="C304" s="1">
        <f t="array" ref="C304:W304">XLOOKUP(LEFT(A304,SEARCH("+",A304)-1),'Offensive Data'!$A$2:$A$134,'Offensive Data'!$D$2:$X$134)</f>
        <v>17.4</v>
      </c>
      <c r="D304" s="1">
        <v>28.5</v>
      </c>
      <c r="E304" s="1">
        <v>60.9</v>
      </c>
      <c r="F304" s="1">
        <v>210.3</v>
      </c>
      <c r="G304" s="1">
        <v>1.5</v>
      </c>
      <c r="H304" s="1">
        <v>40.7</v>
      </c>
      <c r="I304" s="1">
        <v>193.7</v>
      </c>
      <c r="J304" s="1">
        <v>4.8</v>
      </c>
      <c r="K304" s="1">
        <v>2.1</v>
      </c>
      <c r="L304" s="1">
        <v>69.2</v>
      </c>
      <c r="M304" s="1">
        <v>404.0</v>
      </c>
      <c r="N304" s="1">
        <v>5.8</v>
      </c>
      <c r="O304" s="1">
        <v>9.8</v>
      </c>
      <c r="P304" s="1">
        <v>10.8</v>
      </c>
      <c r="Q304" s="1">
        <v>1.9</v>
      </c>
      <c r="R304" s="1">
        <v>22.6</v>
      </c>
      <c r="S304" s="1">
        <v>4.4</v>
      </c>
      <c r="T304" s="1">
        <v>34.3</v>
      </c>
      <c r="U304" s="1">
        <v>0.4</v>
      </c>
      <c r="V304" s="1">
        <v>1.1</v>
      </c>
      <c r="W304" s="1">
        <v>1.5</v>
      </c>
      <c r="X304" s="1">
        <f t="array" ref="X304:AR304">XLOOKUP(MID(A304, SEARCH("+++", A304) + 3, LEN(A304)),'Defensive Data'!$A$2:$A$134,'Defensive Data'!$D$2:$X$134)</f>
        <v>18.9</v>
      </c>
      <c r="Y304" s="1">
        <v>30.0</v>
      </c>
      <c r="Z304" s="1">
        <v>63.1</v>
      </c>
      <c r="AA304" s="1">
        <v>239.1</v>
      </c>
      <c r="AB304" s="1">
        <v>2.1</v>
      </c>
      <c r="AC304" s="1">
        <v>34.3</v>
      </c>
      <c r="AD304" s="1">
        <v>153.5</v>
      </c>
      <c r="AE304" s="1">
        <v>4.5</v>
      </c>
      <c r="AF304" s="1">
        <v>0.8</v>
      </c>
      <c r="AG304" s="1">
        <v>64.3</v>
      </c>
      <c r="AH304" s="1">
        <v>392.6</v>
      </c>
      <c r="AI304" s="1">
        <v>6.1</v>
      </c>
      <c r="AJ304" s="1">
        <v>10.5</v>
      </c>
      <c r="AK304" s="1">
        <v>9.6</v>
      </c>
      <c r="AL304" s="1">
        <v>1.2</v>
      </c>
      <c r="AM304" s="1">
        <v>21.3</v>
      </c>
      <c r="AN304" s="1">
        <v>4.5</v>
      </c>
      <c r="AO304" s="1">
        <v>40.8</v>
      </c>
      <c r="AP304" s="1">
        <v>0.4</v>
      </c>
      <c r="AQ304" s="1">
        <v>1.0</v>
      </c>
      <c r="AR304" s="1">
        <v>1.4</v>
      </c>
    </row>
    <row r="305" ht="15.75" customHeight="1">
      <c r="A305" s="1" t="str">
        <f>CONCATENATE(Scores!A305,"+++",Scores!C305)</f>
        <v>Western Kentucky+++Toledo</v>
      </c>
      <c r="B305" s="1">
        <f>Scores!B305</f>
        <v>26</v>
      </c>
      <c r="C305" s="1">
        <f t="array" ref="C305:W305">XLOOKUP(LEFT(A305,SEARCH("+",A305)-1),'Offensive Data'!$A$2:$A$134,'Offensive Data'!$D$2:$X$134)</f>
        <v>22.1</v>
      </c>
      <c r="D305" s="1">
        <v>33.6</v>
      </c>
      <c r="E305" s="1">
        <v>65.7</v>
      </c>
      <c r="F305" s="1">
        <v>264.6</v>
      </c>
      <c r="G305" s="1">
        <v>2.0</v>
      </c>
      <c r="H305" s="1">
        <v>31.4</v>
      </c>
      <c r="I305" s="1">
        <v>108.9</v>
      </c>
      <c r="J305" s="1">
        <v>3.5</v>
      </c>
      <c r="K305" s="1">
        <v>1.0</v>
      </c>
      <c r="L305" s="1">
        <v>65.0</v>
      </c>
      <c r="M305" s="1">
        <v>373.5</v>
      </c>
      <c r="N305" s="1">
        <v>5.7</v>
      </c>
      <c r="O305" s="1">
        <v>11.5</v>
      </c>
      <c r="P305" s="1">
        <v>6.4</v>
      </c>
      <c r="Q305" s="1">
        <v>1.4</v>
      </c>
      <c r="R305" s="1">
        <v>19.3</v>
      </c>
      <c r="S305" s="1">
        <v>4.1</v>
      </c>
      <c r="T305" s="1">
        <v>41.3</v>
      </c>
      <c r="U305" s="1">
        <v>0.9</v>
      </c>
      <c r="V305" s="1">
        <v>0.9</v>
      </c>
      <c r="W305" s="1">
        <v>1.7</v>
      </c>
      <c r="X305" s="1">
        <f t="array" ref="X305:AR305">XLOOKUP(MID(A305, SEARCH("+++", A305) + 3, LEN(A305)),'Defensive Data'!$A$2:$A$134,'Defensive Data'!$D$2:$X$134)</f>
        <v>18.8</v>
      </c>
      <c r="Y305" s="1">
        <v>32.8</v>
      </c>
      <c r="Z305" s="1">
        <v>57.5</v>
      </c>
      <c r="AA305" s="1">
        <v>207.9</v>
      </c>
      <c r="AB305" s="1">
        <v>1.2</v>
      </c>
      <c r="AC305" s="1">
        <v>40.4</v>
      </c>
      <c r="AD305" s="1">
        <v>150.7</v>
      </c>
      <c r="AE305" s="1">
        <v>3.7</v>
      </c>
      <c r="AF305" s="1">
        <v>1.2</v>
      </c>
      <c r="AG305" s="1">
        <v>73.2</v>
      </c>
      <c r="AH305" s="1">
        <v>358.6</v>
      </c>
      <c r="AI305" s="1">
        <v>4.9</v>
      </c>
      <c r="AJ305" s="1">
        <v>9.7</v>
      </c>
      <c r="AK305" s="1">
        <v>8.8</v>
      </c>
      <c r="AL305" s="1">
        <v>1.9</v>
      </c>
      <c r="AM305" s="1">
        <v>20.5</v>
      </c>
      <c r="AN305" s="1">
        <v>6.9</v>
      </c>
      <c r="AO305" s="1">
        <v>63.8</v>
      </c>
      <c r="AP305" s="1">
        <v>0.5</v>
      </c>
      <c r="AQ305" s="1">
        <v>1.0</v>
      </c>
      <c r="AR305" s="1">
        <v>1.5</v>
      </c>
    </row>
    <row r="306" ht="15.75" customHeight="1">
      <c r="A306" s="1" t="str">
        <f>CONCATENATE(Scores!A306,"+++",Scores!C306)</f>
        <v>Hawaii+++Northern Iowa</v>
      </c>
      <c r="B306" s="1">
        <f>Scores!B306</f>
        <v>36</v>
      </c>
      <c r="C306" s="1">
        <f t="array" ref="C306:W306">XLOOKUP(LEFT(A306,SEARCH("+",A306)-1),'Offensive Data'!$A$2:$A$134,'Offensive Data'!$D$2:$X$134)</f>
        <v>23.8</v>
      </c>
      <c r="D306" s="1">
        <v>40.0</v>
      </c>
      <c r="E306" s="1">
        <v>59.6</v>
      </c>
      <c r="F306" s="1">
        <v>268.2</v>
      </c>
      <c r="G306" s="1">
        <v>2.1</v>
      </c>
      <c r="H306" s="1">
        <v>28.3</v>
      </c>
      <c r="I306" s="1">
        <v>97.7</v>
      </c>
      <c r="J306" s="1">
        <v>3.4</v>
      </c>
      <c r="K306" s="1">
        <v>0.6</v>
      </c>
      <c r="L306" s="1">
        <v>68.3</v>
      </c>
      <c r="M306" s="1">
        <v>365.8</v>
      </c>
      <c r="N306" s="1">
        <v>5.4</v>
      </c>
      <c r="O306" s="1">
        <v>12.5</v>
      </c>
      <c r="P306" s="1">
        <v>5.9</v>
      </c>
      <c r="Q306" s="1">
        <v>2.3</v>
      </c>
      <c r="R306" s="1">
        <v>20.8</v>
      </c>
      <c r="S306" s="1">
        <v>8.0</v>
      </c>
      <c r="T306" s="1">
        <v>70.3</v>
      </c>
      <c r="U306" s="1">
        <v>0.3</v>
      </c>
      <c r="V306" s="1">
        <v>1.3</v>
      </c>
      <c r="W306" s="1">
        <v>1.6</v>
      </c>
      <c r="X306" s="1" t="str">
        <f t="array" ref="X306">XLOOKUP(MID(A306, SEARCH("+++", A306) + 3, LEN(A306)),'Defensive Data'!$A$2:$A$134,'Defensive Data'!$D$2:$X$134)</f>
        <v>#N/A</v>
      </c>
    </row>
    <row r="307" ht="15.75" customHeight="1">
      <c r="A307" s="1" t="str">
        <f>CONCATENATE(Scores!A307,"+++",Scores!C307)</f>
        <v>Army+++Temple</v>
      </c>
      <c r="B307" s="1">
        <f>Scores!B307</f>
        <v>42</v>
      </c>
      <c r="C307" s="1">
        <f t="array" ref="C307:W307">XLOOKUP(LEFT(A307,SEARCH("+",A307)-1),'Offensive Data'!$A$2:$A$134,'Offensive Data'!$D$2:$X$134)</f>
        <v>4.7</v>
      </c>
      <c r="D307" s="1">
        <v>8.7</v>
      </c>
      <c r="E307" s="1">
        <v>54.1</v>
      </c>
      <c r="F307" s="1">
        <v>80.6</v>
      </c>
      <c r="G307" s="1">
        <v>0.7</v>
      </c>
      <c r="H307" s="1">
        <v>54.6</v>
      </c>
      <c r="I307" s="1">
        <v>300.5</v>
      </c>
      <c r="J307" s="1">
        <v>5.5</v>
      </c>
      <c r="K307" s="1">
        <v>3.4</v>
      </c>
      <c r="L307" s="1">
        <v>63.3</v>
      </c>
      <c r="M307" s="1">
        <v>381.1</v>
      </c>
      <c r="N307" s="1">
        <v>6.0</v>
      </c>
      <c r="O307" s="1">
        <v>3.1</v>
      </c>
      <c r="P307" s="1">
        <v>16.4</v>
      </c>
      <c r="Q307" s="1">
        <v>1.3</v>
      </c>
      <c r="R307" s="1">
        <v>20.9</v>
      </c>
      <c r="S307" s="1">
        <v>3.2</v>
      </c>
      <c r="T307" s="1">
        <v>31.5</v>
      </c>
      <c r="U307" s="1">
        <v>0.4</v>
      </c>
      <c r="V307" s="1">
        <v>0.3</v>
      </c>
      <c r="W307" s="1">
        <v>0.6</v>
      </c>
      <c r="X307" s="1">
        <f t="array" ref="X307:AR307">XLOOKUP(MID(A307, SEARCH("+++", A307) + 3, LEN(A307)),'Defensive Data'!$A$2:$A$134,'Defensive Data'!$D$2:$X$134)</f>
        <v>16.3</v>
      </c>
      <c r="Y307" s="1">
        <v>27.8</v>
      </c>
      <c r="Z307" s="1">
        <v>58.9</v>
      </c>
      <c r="AA307" s="1">
        <v>191.7</v>
      </c>
      <c r="AB307" s="1">
        <v>1.7</v>
      </c>
      <c r="AC307" s="1">
        <v>40.8</v>
      </c>
      <c r="AD307" s="1">
        <v>226.1</v>
      </c>
      <c r="AE307" s="1">
        <v>5.5</v>
      </c>
      <c r="AF307" s="1">
        <v>2.5</v>
      </c>
      <c r="AG307" s="1">
        <v>68.6</v>
      </c>
      <c r="AH307" s="1">
        <v>417.8</v>
      </c>
      <c r="AI307" s="1">
        <v>6.1</v>
      </c>
      <c r="AJ307" s="1">
        <v>8.4</v>
      </c>
      <c r="AK307" s="1">
        <v>10.0</v>
      </c>
      <c r="AL307" s="1">
        <v>1.6</v>
      </c>
      <c r="AM307" s="1">
        <v>20.0</v>
      </c>
      <c r="AN307" s="1">
        <v>5.4</v>
      </c>
      <c r="AO307" s="1">
        <v>47.1</v>
      </c>
      <c r="AP307" s="1">
        <v>0.5</v>
      </c>
      <c r="AQ307" s="1">
        <v>0.8</v>
      </c>
      <c r="AR307" s="1">
        <v>1.3</v>
      </c>
    </row>
    <row r="308" ht="15.75" customHeight="1">
      <c r="A308" s="1" t="str">
        <f>CONCATENATE(Scores!A308,"+++",Scores!C308)</f>
        <v> Miami (FL)+++Virginia Tech</v>
      </c>
      <c r="B308" s="1">
        <f>Scores!B308</f>
        <v>38</v>
      </c>
      <c r="C308" s="1" t="str">
        <f t="array" ref="C308">XLOOKUP(LEFT(A308,SEARCH("+",A308)-1),'Offensive Data'!$A$2:$A$134,'Offensive Data'!$D$2:$X$134)</f>
        <v>#N/A</v>
      </c>
      <c r="X308" s="1">
        <f t="array" ref="X308:AR308">XLOOKUP(MID(A308, SEARCH("+++", A308) + 3, LEN(A308)),'Defensive Data'!$A$2:$A$134,'Defensive Data'!$D$2:$X$134)</f>
        <v>16.8</v>
      </c>
      <c r="Y308" s="1">
        <v>30.8</v>
      </c>
      <c r="Z308" s="1">
        <v>54.8</v>
      </c>
      <c r="AA308" s="1">
        <v>215.9</v>
      </c>
      <c r="AB308" s="1">
        <v>1.5</v>
      </c>
      <c r="AC308" s="1">
        <v>37.5</v>
      </c>
      <c r="AD308" s="1">
        <v>147.1</v>
      </c>
      <c r="AE308" s="1">
        <v>3.9</v>
      </c>
      <c r="AF308" s="1">
        <v>1.3</v>
      </c>
      <c r="AG308" s="1">
        <v>68.3</v>
      </c>
      <c r="AH308" s="1">
        <v>363.0</v>
      </c>
      <c r="AI308" s="1">
        <v>5.3</v>
      </c>
      <c r="AJ308" s="1">
        <v>9.2</v>
      </c>
      <c r="AK308" s="1">
        <v>8.2</v>
      </c>
      <c r="AL308" s="1">
        <v>1.5</v>
      </c>
      <c r="AM308" s="1">
        <v>18.9</v>
      </c>
      <c r="AN308" s="1">
        <v>6.0</v>
      </c>
      <c r="AO308" s="1">
        <v>54.3</v>
      </c>
      <c r="AP308" s="1">
        <v>0.8</v>
      </c>
      <c r="AQ308" s="1">
        <v>1.2</v>
      </c>
      <c r="AR308" s="1">
        <v>1.9</v>
      </c>
    </row>
    <row r="309" ht="15.75" customHeight="1">
      <c r="A309" s="1" t="str">
        <f>CONCATENATE(Scores!A309,"+++",Scores!C309)</f>
        <v>Rutgers+++Washington</v>
      </c>
      <c r="B309" s="1">
        <f>Scores!B309</f>
        <v>21</v>
      </c>
      <c r="C309" s="1">
        <f t="array" ref="C309:W309">XLOOKUP(LEFT(A309,SEARCH("+",A309)-1),'Offensive Data'!$A$2:$A$134,'Offensive Data'!$D$2:$X$134)</f>
        <v>16.4</v>
      </c>
      <c r="D309" s="1">
        <v>30.4</v>
      </c>
      <c r="E309" s="1">
        <v>53.9</v>
      </c>
      <c r="F309" s="1">
        <v>207.4</v>
      </c>
      <c r="G309" s="1">
        <v>1.4</v>
      </c>
      <c r="H309" s="1">
        <v>39.8</v>
      </c>
      <c r="I309" s="1">
        <v>175.3</v>
      </c>
      <c r="J309" s="1">
        <v>4.4</v>
      </c>
      <c r="K309" s="1">
        <v>2.2</v>
      </c>
      <c r="L309" s="1">
        <v>70.2</v>
      </c>
      <c r="M309" s="1">
        <v>382.7</v>
      </c>
      <c r="N309" s="1">
        <v>5.5</v>
      </c>
      <c r="O309" s="1">
        <v>10.1</v>
      </c>
      <c r="P309" s="1">
        <v>9.9</v>
      </c>
      <c r="Q309" s="1">
        <v>2.5</v>
      </c>
      <c r="R309" s="1">
        <v>22.5</v>
      </c>
      <c r="S309" s="1">
        <v>4.0</v>
      </c>
      <c r="T309" s="1">
        <v>34.2</v>
      </c>
      <c r="U309" s="1">
        <v>0.2</v>
      </c>
      <c r="V309" s="1">
        <v>0.5</v>
      </c>
      <c r="W309" s="1">
        <v>0.7</v>
      </c>
      <c r="X309" s="1">
        <f t="array" ref="X309:AR309">XLOOKUP(MID(A309, SEARCH("+++", A309) + 3, LEN(A309)),'Defensive Data'!$A$2:$A$134,'Defensive Data'!$D$2:$X$134)</f>
        <v>16.2</v>
      </c>
      <c r="Y309" s="1">
        <v>29.0</v>
      </c>
      <c r="Z309" s="1">
        <v>55.7</v>
      </c>
      <c r="AA309" s="1">
        <v>166.5</v>
      </c>
      <c r="AB309" s="1">
        <v>1.2</v>
      </c>
      <c r="AC309" s="1">
        <v>35.5</v>
      </c>
      <c r="AD309" s="1">
        <v>161.8</v>
      </c>
      <c r="AE309" s="1">
        <v>4.6</v>
      </c>
      <c r="AF309" s="1">
        <v>1.5</v>
      </c>
      <c r="AG309" s="1">
        <v>64.5</v>
      </c>
      <c r="AH309" s="1">
        <v>328.4</v>
      </c>
      <c r="AI309" s="1">
        <v>5.1</v>
      </c>
      <c r="AJ309" s="1">
        <v>8.0</v>
      </c>
      <c r="AK309" s="1">
        <v>9.5</v>
      </c>
      <c r="AL309" s="1">
        <v>2.2</v>
      </c>
      <c r="AM309" s="1">
        <v>19.7</v>
      </c>
      <c r="AN309" s="1">
        <v>5.0</v>
      </c>
      <c r="AO309" s="1">
        <v>42.0</v>
      </c>
      <c r="AP309" s="1">
        <v>0.5</v>
      </c>
      <c r="AQ309" s="1">
        <v>0.6</v>
      </c>
      <c r="AR309" s="1">
        <v>1.1</v>
      </c>
    </row>
    <row r="310" ht="15.75" customHeight="1">
      <c r="A310" s="1" t="str">
        <f>CONCATENATE(Scores!A310,"+++",Scores!C310)</f>
        <v> Alabama+++ Georgia</v>
      </c>
      <c r="B310" s="1">
        <f>Scores!B310</f>
        <v>41</v>
      </c>
      <c r="C310" s="1" t="str">
        <f t="array" ref="C310">XLOOKUP(LEFT(A310,SEARCH("+",A310)-1),'Offensive Data'!$A$2:$A$134,'Offensive Data'!$D$2:$X$134)</f>
        <v>#N/A</v>
      </c>
      <c r="X310" s="1" t="str">
        <f t="array" ref="X310">XLOOKUP(MID(A310, SEARCH("+++", A310) + 3, LEN(A310)),'Defensive Data'!$A$2:$A$134,'Defensive Data'!$D$2:$X$134)</f>
        <v>#N/A</v>
      </c>
    </row>
    <row r="311" ht="15.75" customHeight="1">
      <c r="A311" s="1" t="str">
        <f>CONCATENATE(Scores!A311,"+++",Scores!C311)</f>
        <v>Arizona+++ Utah</v>
      </c>
      <c r="B311" s="1">
        <f>Scores!B311</f>
        <v>23</v>
      </c>
      <c r="C311" s="1">
        <f t="array" ref="C311:W311">XLOOKUP(LEFT(A311,SEARCH("+",A311)-1),'Offensive Data'!$A$2:$A$134,'Offensive Data'!$D$2:$X$134)</f>
        <v>21.8</v>
      </c>
      <c r="D311" s="1">
        <v>36.4</v>
      </c>
      <c r="E311" s="1">
        <v>60.0</v>
      </c>
      <c r="F311" s="1">
        <v>247.9</v>
      </c>
      <c r="G311" s="1">
        <v>1.5</v>
      </c>
      <c r="H311" s="1">
        <v>27.9</v>
      </c>
      <c r="I311" s="1">
        <v>106.6</v>
      </c>
      <c r="J311" s="1">
        <v>3.8</v>
      </c>
      <c r="K311" s="1">
        <v>0.9</v>
      </c>
      <c r="L311" s="1">
        <v>64.3</v>
      </c>
      <c r="M311" s="1">
        <v>354.5</v>
      </c>
      <c r="N311" s="1">
        <v>5.5</v>
      </c>
      <c r="O311" s="1">
        <v>10.8</v>
      </c>
      <c r="P311" s="1">
        <v>6.2</v>
      </c>
      <c r="Q311" s="1">
        <v>1.5</v>
      </c>
      <c r="R311" s="1">
        <v>18.5</v>
      </c>
      <c r="S311" s="1">
        <v>6.5</v>
      </c>
      <c r="T311" s="1">
        <v>57.6</v>
      </c>
      <c r="U311" s="1">
        <v>0.6</v>
      </c>
      <c r="V311" s="1">
        <v>1.1</v>
      </c>
      <c r="W311" s="1">
        <v>1.7</v>
      </c>
      <c r="X311" s="1" t="str">
        <f t="array" ref="X311">XLOOKUP(MID(A311, SEARCH("+++", A311) + 3, LEN(A311)),'Defensive Data'!$A$2:$A$134,'Defensive Data'!$D$2:$X$134)</f>
        <v>#N/A</v>
      </c>
    </row>
    <row r="312" ht="15.75" customHeight="1">
      <c r="A312" s="1" t="str">
        <f>CONCATENATE(Scores!A312,"+++",Scores!C312)</f>
        <v> Boise State+++Washington State</v>
      </c>
      <c r="B312" s="1">
        <f>Scores!B312</f>
        <v>45</v>
      </c>
      <c r="C312" s="1" t="str">
        <f t="array" ref="C312">XLOOKUP(LEFT(A312,SEARCH("+",A312)-1),'Offensive Data'!$A$2:$A$134,'Offensive Data'!$D$2:$X$134)</f>
        <v>#N/A</v>
      </c>
      <c r="X312" s="1">
        <f t="array" ref="X312:AR312">XLOOKUP(MID(A312, SEARCH("+++", A312) + 3, LEN(A312)),'Defensive Data'!$A$2:$A$134,'Defensive Data'!$D$2:$X$134)</f>
        <v>23.6</v>
      </c>
      <c r="Y312" s="1">
        <v>37.4</v>
      </c>
      <c r="Z312" s="1">
        <v>63.2</v>
      </c>
      <c r="AA312" s="1">
        <v>270.5</v>
      </c>
      <c r="AB312" s="1">
        <v>1.9</v>
      </c>
      <c r="AC312" s="1">
        <v>32.8</v>
      </c>
      <c r="AD312" s="1">
        <v>172.1</v>
      </c>
      <c r="AE312" s="1">
        <v>5.2</v>
      </c>
      <c r="AF312" s="1">
        <v>1.8</v>
      </c>
      <c r="AG312" s="1">
        <v>70.2</v>
      </c>
      <c r="AH312" s="1">
        <v>442.6</v>
      </c>
      <c r="AI312" s="1">
        <v>6.3</v>
      </c>
      <c r="AJ312" s="1">
        <v>12.2</v>
      </c>
      <c r="AK312" s="1">
        <v>8.5</v>
      </c>
      <c r="AL312" s="1">
        <v>2.2</v>
      </c>
      <c r="AM312" s="1">
        <v>22.8</v>
      </c>
      <c r="AN312" s="1">
        <v>7.3</v>
      </c>
      <c r="AO312" s="1">
        <v>57.9</v>
      </c>
      <c r="AP312" s="1">
        <v>0.6</v>
      </c>
      <c r="AQ312" s="1">
        <v>1.1</v>
      </c>
      <c r="AR312" s="1">
        <v>1.7</v>
      </c>
    </row>
    <row r="313" ht="15.75" customHeight="1">
      <c r="A313" s="1" t="str">
        <f>CONCATENATE(Scores!A313,"+++",Scores!C313)</f>
        <v>Boston College+++Western Kentucky</v>
      </c>
      <c r="B313" s="1">
        <f>Scores!B313</f>
        <v>21</v>
      </c>
      <c r="C313" s="1">
        <f t="array" ref="C313:W313">XLOOKUP(LEFT(A313,SEARCH("+",A313)-1),'Offensive Data'!$A$2:$A$134,'Offensive Data'!$D$2:$X$134)</f>
        <v>15.9</v>
      </c>
      <c r="D313" s="1">
        <v>25.4</v>
      </c>
      <c r="E313" s="1">
        <v>62.7</v>
      </c>
      <c r="F313" s="1">
        <v>199.3</v>
      </c>
      <c r="G313" s="1">
        <v>1.8</v>
      </c>
      <c r="H313" s="1">
        <v>40.7</v>
      </c>
      <c r="I313" s="1">
        <v>166.1</v>
      </c>
      <c r="J313" s="1">
        <v>4.1</v>
      </c>
      <c r="K313" s="1">
        <v>1.8</v>
      </c>
      <c r="L313" s="1">
        <v>66.1</v>
      </c>
      <c r="M313" s="1">
        <v>365.4</v>
      </c>
      <c r="N313" s="1">
        <v>5.5</v>
      </c>
      <c r="O313" s="1">
        <v>8.6</v>
      </c>
      <c r="P313" s="1">
        <v>8.8</v>
      </c>
      <c r="Q313" s="1">
        <v>1.8</v>
      </c>
      <c r="R313" s="1">
        <v>19.3</v>
      </c>
      <c r="S313" s="1">
        <v>4.5</v>
      </c>
      <c r="T313" s="1">
        <v>43.1</v>
      </c>
      <c r="U313" s="1">
        <v>0.7</v>
      </c>
      <c r="V313" s="1">
        <v>0.5</v>
      </c>
      <c r="W313" s="1">
        <v>1.2</v>
      </c>
      <c r="X313" s="1">
        <f t="array" ref="X313:AR313">XLOOKUP(MID(A313, SEARCH("+++", A313) + 3, LEN(A313)),'Defensive Data'!$A$2:$A$134,'Defensive Data'!$D$2:$X$134)</f>
        <v>13.9</v>
      </c>
      <c r="Y313" s="1">
        <v>22.9</v>
      </c>
      <c r="Z313" s="1">
        <v>60.7</v>
      </c>
      <c r="AA313" s="1">
        <v>176.1</v>
      </c>
      <c r="AB313" s="1">
        <v>1.3</v>
      </c>
      <c r="AC313" s="1">
        <v>44.2</v>
      </c>
      <c r="AD313" s="1">
        <v>221.2</v>
      </c>
      <c r="AE313" s="1">
        <v>5.0</v>
      </c>
      <c r="AF313" s="1">
        <v>1.9</v>
      </c>
      <c r="AG313" s="1">
        <v>67.1</v>
      </c>
      <c r="AH313" s="1">
        <v>397.3</v>
      </c>
      <c r="AI313" s="1">
        <v>5.9</v>
      </c>
      <c r="AJ313" s="1">
        <v>7.4</v>
      </c>
      <c r="AK313" s="1">
        <v>11.6</v>
      </c>
      <c r="AL313" s="1">
        <v>1.1</v>
      </c>
      <c r="AM313" s="1">
        <v>20.1</v>
      </c>
      <c r="AN313" s="1">
        <v>5.1</v>
      </c>
      <c r="AO313" s="1">
        <v>44.9</v>
      </c>
      <c r="AP313" s="1">
        <v>0.7</v>
      </c>
      <c r="AQ313" s="1">
        <v>0.7</v>
      </c>
      <c r="AR313" s="1">
        <v>1.4</v>
      </c>
    </row>
    <row r="314" ht="15.75" customHeight="1">
      <c r="A314" s="1" t="str">
        <f>CONCATENATE(Scores!A314,"+++",Scores!C314)</f>
        <v> Brigham Young+++Baylor</v>
      </c>
      <c r="B314" s="1">
        <f>Scores!B314</f>
        <v>34</v>
      </c>
      <c r="C314" s="1" t="str">
        <f t="array" ref="C314">XLOOKUP(LEFT(A314,SEARCH("+",A314)-1),'Offensive Data'!$A$2:$A$134,'Offensive Data'!$D$2:$X$134)</f>
        <v>#N/A</v>
      </c>
      <c r="X314" s="1">
        <f t="array" ref="X314:AR314">XLOOKUP(MID(A314, SEARCH("+++", A314) + 3, LEN(A314)),'Defensive Data'!$A$2:$A$134,'Defensive Data'!$D$2:$X$134)</f>
        <v>18.2</v>
      </c>
      <c r="Y314" s="1">
        <v>30.2</v>
      </c>
      <c r="Z314" s="1">
        <v>60.3</v>
      </c>
      <c r="AA314" s="1">
        <v>234.2</v>
      </c>
      <c r="AB314" s="1">
        <v>1.7</v>
      </c>
      <c r="AC314" s="1">
        <v>37.8</v>
      </c>
      <c r="AD314" s="1">
        <v>152.0</v>
      </c>
      <c r="AE314" s="1">
        <v>4.0</v>
      </c>
      <c r="AF314" s="1">
        <v>1.2</v>
      </c>
      <c r="AG314" s="1">
        <v>68.0</v>
      </c>
      <c r="AH314" s="1">
        <v>386.2</v>
      </c>
      <c r="AI314" s="1">
        <v>5.7</v>
      </c>
      <c r="AJ314" s="1">
        <v>10.3</v>
      </c>
      <c r="AK314" s="1">
        <v>8.0</v>
      </c>
      <c r="AL314" s="1">
        <v>2.2</v>
      </c>
      <c r="AM314" s="1">
        <v>20.5</v>
      </c>
      <c r="AN314" s="1">
        <v>5.6</v>
      </c>
      <c r="AO314" s="1">
        <v>49.8</v>
      </c>
      <c r="AP314" s="1">
        <v>0.5</v>
      </c>
      <c r="AQ314" s="1">
        <v>1.1</v>
      </c>
      <c r="AR314" s="1">
        <v>1.6</v>
      </c>
    </row>
    <row r="315" ht="15.75" customHeight="1">
      <c r="A315" s="1" t="str">
        <f>CONCATENATE(Scores!A315,"+++",Scores!C315)</f>
        <v>Central Michigan+++San Diego State</v>
      </c>
      <c r="B315" s="1">
        <f>Scores!B315</f>
        <v>22</v>
      </c>
      <c r="C315" s="1">
        <f t="array" ref="C315:W315">XLOOKUP(LEFT(A315,SEARCH("+",A315)-1),'Offensive Data'!$A$2:$A$134,'Offensive Data'!$D$2:$X$134)</f>
        <v>13.9</v>
      </c>
      <c r="D315" s="1">
        <v>25.2</v>
      </c>
      <c r="E315" s="1">
        <v>55.3</v>
      </c>
      <c r="F315" s="1">
        <v>163.4</v>
      </c>
      <c r="G315" s="1">
        <v>0.9</v>
      </c>
      <c r="H315" s="1">
        <v>37.3</v>
      </c>
      <c r="I315" s="1">
        <v>166.1</v>
      </c>
      <c r="J315" s="1">
        <v>4.5</v>
      </c>
      <c r="K315" s="1">
        <v>1.4</v>
      </c>
      <c r="L315" s="1">
        <v>62.4</v>
      </c>
      <c r="M315" s="1">
        <v>329.5</v>
      </c>
      <c r="N315" s="1">
        <v>5.3</v>
      </c>
      <c r="O315" s="1">
        <v>6.9</v>
      </c>
      <c r="P315" s="1">
        <v>8.8</v>
      </c>
      <c r="Q315" s="1">
        <v>2.3</v>
      </c>
      <c r="R315" s="1">
        <v>18.0</v>
      </c>
      <c r="S315" s="1">
        <v>6.8</v>
      </c>
      <c r="T315" s="1">
        <v>60.9</v>
      </c>
      <c r="U315" s="1">
        <v>0.8</v>
      </c>
      <c r="V315" s="1">
        <v>1.0</v>
      </c>
      <c r="W315" s="1">
        <v>1.8</v>
      </c>
      <c r="X315" s="1">
        <f t="array" ref="X315:AR315">XLOOKUP(MID(A315, SEARCH("+++", A315) + 3, LEN(A315)),'Defensive Data'!$A$2:$A$134,'Defensive Data'!$D$2:$X$134)</f>
        <v>18.6</v>
      </c>
      <c r="Y315" s="1">
        <v>28.6</v>
      </c>
      <c r="Z315" s="1">
        <v>65.0</v>
      </c>
      <c r="AA315" s="1">
        <v>214.1</v>
      </c>
      <c r="AB315" s="1">
        <v>1.8</v>
      </c>
      <c r="AC315" s="1">
        <v>42.4</v>
      </c>
      <c r="AD315" s="1">
        <v>207.3</v>
      </c>
      <c r="AE315" s="1">
        <v>4.9</v>
      </c>
      <c r="AF315" s="1">
        <v>2.1</v>
      </c>
      <c r="AG315" s="1">
        <v>71.0</v>
      </c>
      <c r="AH315" s="1">
        <v>421.3</v>
      </c>
      <c r="AI315" s="1">
        <v>5.9</v>
      </c>
      <c r="AJ315" s="1">
        <v>9.4</v>
      </c>
      <c r="AK315" s="1">
        <v>11.3</v>
      </c>
      <c r="AL315" s="1">
        <v>2.6</v>
      </c>
      <c r="AM315" s="1">
        <v>23.3</v>
      </c>
      <c r="AN315" s="1">
        <v>6.5</v>
      </c>
      <c r="AO315" s="1">
        <v>63.8</v>
      </c>
      <c r="AP315" s="1">
        <v>0.4</v>
      </c>
      <c r="AQ315" s="1">
        <v>0.6</v>
      </c>
      <c r="AR315" s="1">
        <v>1.0</v>
      </c>
    </row>
    <row r="316" ht="15.75" customHeight="1">
      <c r="A316" s="1" t="str">
        <f>CONCATENATE(Scores!A316,"+++",Scores!C316)</f>
        <v>Charlotte+++Rice</v>
      </c>
      <c r="B316" s="1">
        <f>Scores!B316</f>
        <v>21</v>
      </c>
      <c r="C316" s="1">
        <f t="array" ref="C316:W316">XLOOKUP(LEFT(A316,SEARCH("+",A316)-1),'Offensive Data'!$A$2:$A$134,'Offensive Data'!$D$2:$X$134)</f>
        <v>14.8</v>
      </c>
      <c r="D316" s="1">
        <v>29.4</v>
      </c>
      <c r="E316" s="1">
        <v>50.1</v>
      </c>
      <c r="F316" s="1">
        <v>224.1</v>
      </c>
      <c r="G316" s="1">
        <v>1.3</v>
      </c>
      <c r="H316" s="1">
        <v>32.5</v>
      </c>
      <c r="I316" s="1">
        <v>117.1</v>
      </c>
      <c r="J316" s="1">
        <v>3.6</v>
      </c>
      <c r="K316" s="1">
        <v>1.3</v>
      </c>
      <c r="L316" s="1">
        <v>61.9</v>
      </c>
      <c r="M316" s="1">
        <v>341.2</v>
      </c>
      <c r="N316" s="1">
        <v>5.5</v>
      </c>
      <c r="O316" s="1">
        <v>8.7</v>
      </c>
      <c r="P316" s="1">
        <v>6.4</v>
      </c>
      <c r="Q316" s="1">
        <v>2.1</v>
      </c>
      <c r="R316" s="1">
        <v>17.2</v>
      </c>
      <c r="S316" s="1">
        <v>7.8</v>
      </c>
      <c r="T316" s="1">
        <v>65.3</v>
      </c>
      <c r="U316" s="1">
        <v>0.6</v>
      </c>
      <c r="V316" s="1">
        <v>1.2</v>
      </c>
      <c r="W316" s="1">
        <v>1.8</v>
      </c>
      <c r="X316" s="1">
        <f t="array" ref="X316:AR316">XLOOKUP(MID(A316, SEARCH("+++", A316) + 3, LEN(A316)),'Defensive Data'!$A$2:$A$134,'Defensive Data'!$D$2:$X$134)</f>
        <v>15</v>
      </c>
      <c r="Y316" s="1">
        <v>27.1</v>
      </c>
      <c r="Z316" s="1">
        <v>55.4</v>
      </c>
      <c r="AA316" s="1">
        <v>173.8</v>
      </c>
      <c r="AB316" s="1">
        <v>1.5</v>
      </c>
      <c r="AC316" s="1">
        <v>39.3</v>
      </c>
      <c r="AD316" s="1">
        <v>160.6</v>
      </c>
      <c r="AE316" s="1">
        <v>4.1</v>
      </c>
      <c r="AF316" s="1">
        <v>1.4</v>
      </c>
      <c r="AG316" s="1">
        <v>66.3</v>
      </c>
      <c r="AH316" s="1">
        <v>334.4</v>
      </c>
      <c r="AI316" s="1">
        <v>5.0</v>
      </c>
      <c r="AJ316" s="1">
        <v>7.2</v>
      </c>
      <c r="AK316" s="1">
        <v>9.1</v>
      </c>
      <c r="AL316" s="1">
        <v>1.6</v>
      </c>
      <c r="AM316" s="1">
        <v>17.8</v>
      </c>
      <c r="AN316" s="1">
        <v>6.2</v>
      </c>
      <c r="AO316" s="1">
        <v>59.0</v>
      </c>
      <c r="AP316" s="1">
        <v>0.3</v>
      </c>
      <c r="AQ316" s="1">
        <v>0.7</v>
      </c>
      <c r="AR316" s="1">
        <v>1.0</v>
      </c>
    </row>
    <row r="317" ht="15.75" customHeight="1">
      <c r="A317" s="1" t="str">
        <f>CONCATENATE(Scores!A317,"+++",Scores!C317)</f>
        <v> Clemson+++Stanford</v>
      </c>
      <c r="B317" s="1">
        <f>Scores!B317</f>
        <v>40</v>
      </c>
      <c r="C317" s="1" t="str">
        <f t="array" ref="C317">XLOOKUP(LEFT(A317,SEARCH("+",A317)-1),'Offensive Data'!$A$2:$A$134,'Offensive Data'!$D$2:$X$134)</f>
        <v>#N/A</v>
      </c>
      <c r="X317" s="1">
        <f t="array" ref="X317:AR317">XLOOKUP(MID(A317, SEARCH("+++", A317) + 3, LEN(A317)),'Defensive Data'!$A$2:$A$134,'Defensive Data'!$D$2:$X$134)</f>
        <v>21.9</v>
      </c>
      <c r="Y317" s="1">
        <v>33.2</v>
      </c>
      <c r="Z317" s="1">
        <v>66.1</v>
      </c>
      <c r="AA317" s="1">
        <v>280.6</v>
      </c>
      <c r="AB317" s="1">
        <v>2.6</v>
      </c>
      <c r="AC317" s="1">
        <v>31.6</v>
      </c>
      <c r="AD317" s="1">
        <v>133.5</v>
      </c>
      <c r="AE317" s="1">
        <v>4.2</v>
      </c>
      <c r="AF317" s="1">
        <v>1.8</v>
      </c>
      <c r="AG317" s="1">
        <v>64.8</v>
      </c>
      <c r="AH317" s="1">
        <v>414.1</v>
      </c>
      <c r="AI317" s="1">
        <v>6.4</v>
      </c>
      <c r="AJ317" s="1">
        <v>12.4</v>
      </c>
      <c r="AK317" s="1">
        <v>7.3</v>
      </c>
      <c r="AL317" s="1">
        <v>1.5</v>
      </c>
      <c r="AM317" s="1">
        <v>21.2</v>
      </c>
      <c r="AN317" s="1">
        <v>6.8</v>
      </c>
      <c r="AO317" s="1">
        <v>61.8</v>
      </c>
      <c r="AP317" s="1">
        <v>0.7</v>
      </c>
      <c r="AQ317" s="1">
        <v>0.8</v>
      </c>
      <c r="AR317" s="1">
        <v>1.4</v>
      </c>
    </row>
    <row r="318" ht="15.75" customHeight="1">
      <c r="A318" s="1" t="str">
        <f>CONCATENATE(Scores!A318,"+++",Scores!C318)</f>
        <v>Colorado+++Central Florida</v>
      </c>
      <c r="B318" s="1">
        <f>Scores!B318</f>
        <v>48</v>
      </c>
      <c r="C318" s="1">
        <f t="array" ref="C318:W318">XLOOKUP(LEFT(A318,SEARCH("+",A318)-1),'Offensive Data'!$A$2:$A$134,'Offensive Data'!$D$2:$X$134)</f>
        <v>27.2</v>
      </c>
      <c r="D318" s="1">
        <v>37.1</v>
      </c>
      <c r="E318" s="1">
        <v>73.2</v>
      </c>
      <c r="F318" s="1">
        <v>318.0</v>
      </c>
      <c r="G318" s="1">
        <v>2.8</v>
      </c>
      <c r="H318" s="1">
        <v>26.2</v>
      </c>
      <c r="I318" s="1">
        <v>65.2</v>
      </c>
      <c r="J318" s="1">
        <v>2.5</v>
      </c>
      <c r="K318" s="1">
        <v>1.2</v>
      </c>
      <c r="L318" s="1">
        <v>63.3</v>
      </c>
      <c r="M318" s="1">
        <v>383.2</v>
      </c>
      <c r="N318" s="1">
        <v>6.1</v>
      </c>
      <c r="O318" s="1">
        <v>13.2</v>
      </c>
      <c r="P318" s="1">
        <v>4.8</v>
      </c>
      <c r="Q318" s="1">
        <v>2.4</v>
      </c>
      <c r="R318" s="1">
        <v>20.4</v>
      </c>
      <c r="S318" s="1">
        <v>7.7</v>
      </c>
      <c r="T318" s="1">
        <v>67.8</v>
      </c>
      <c r="U318" s="1">
        <v>0.4</v>
      </c>
      <c r="V318" s="1">
        <v>0.8</v>
      </c>
      <c r="W318" s="1">
        <v>1.2</v>
      </c>
      <c r="X318" s="1" t="str">
        <f t="array" ref="X318">XLOOKUP(MID(A318, SEARCH("+++", A318) + 3, LEN(A318)),'Defensive Data'!$A$2:$A$134,'Defensive Data'!$D$2:$X$134)</f>
        <v>#N/A</v>
      </c>
    </row>
    <row r="319" ht="15.75" customHeight="1">
      <c r="A319" s="1" t="str">
        <f>CONCATENATE(Scores!A319,"+++",Scores!C319)</f>
        <v>Connecticut+++Buffalo</v>
      </c>
      <c r="B319" s="1">
        <f>Scores!B319</f>
        <v>47</v>
      </c>
      <c r="C319" s="1">
        <f t="array" ref="C319:W319">XLOOKUP(LEFT(A319,SEARCH("+",A319)-1),'Offensive Data'!$A$2:$A$134,'Offensive Data'!$D$2:$X$134)</f>
        <v>17.1</v>
      </c>
      <c r="D319" s="1">
        <v>30.5</v>
      </c>
      <c r="E319" s="1">
        <v>56.1</v>
      </c>
      <c r="F319" s="1">
        <v>198.4</v>
      </c>
      <c r="G319" s="1">
        <v>1.9</v>
      </c>
      <c r="H319" s="1">
        <v>39.7</v>
      </c>
      <c r="I319" s="1">
        <v>199.2</v>
      </c>
      <c r="J319" s="1">
        <v>5.0</v>
      </c>
      <c r="K319" s="1">
        <v>1.8</v>
      </c>
      <c r="L319" s="1">
        <v>70.2</v>
      </c>
      <c r="M319" s="1">
        <v>397.6</v>
      </c>
      <c r="N319" s="1">
        <v>5.7</v>
      </c>
      <c r="O319" s="1">
        <v>8.8</v>
      </c>
      <c r="P319" s="1">
        <v>9.3</v>
      </c>
      <c r="Q319" s="1">
        <v>2.5</v>
      </c>
      <c r="R319" s="1">
        <v>20.6</v>
      </c>
      <c r="S319" s="1">
        <v>5.3</v>
      </c>
      <c r="T319" s="1">
        <v>52.7</v>
      </c>
      <c r="U319" s="1">
        <v>0.5</v>
      </c>
      <c r="V319" s="1">
        <v>0.7</v>
      </c>
      <c r="W319" s="1">
        <v>1.2</v>
      </c>
      <c r="X319" s="1">
        <f t="array" ref="X319:AR319">XLOOKUP(MID(A319, SEARCH("+++", A319) + 3, LEN(A319)),'Defensive Data'!$A$2:$A$134,'Defensive Data'!$D$2:$X$134)</f>
        <v>20.7</v>
      </c>
      <c r="Y319" s="1">
        <v>33.8</v>
      </c>
      <c r="Z319" s="1">
        <v>61.3</v>
      </c>
      <c r="AA319" s="1">
        <v>245.2</v>
      </c>
      <c r="AB319" s="1">
        <v>1.9</v>
      </c>
      <c r="AC319" s="1">
        <v>35.9</v>
      </c>
      <c r="AD319" s="1">
        <v>146.6</v>
      </c>
      <c r="AE319" s="1">
        <v>4.1</v>
      </c>
      <c r="AF319" s="1">
        <v>1.3</v>
      </c>
      <c r="AG319" s="1">
        <v>69.7</v>
      </c>
      <c r="AH319" s="1">
        <v>391.8</v>
      </c>
      <c r="AI319" s="1">
        <v>5.6</v>
      </c>
      <c r="AJ319" s="1">
        <v>11.1</v>
      </c>
      <c r="AK319" s="1">
        <v>7.5</v>
      </c>
      <c r="AL319" s="1">
        <v>1.7</v>
      </c>
      <c r="AM319" s="1">
        <v>20.2</v>
      </c>
      <c r="AN319" s="1">
        <v>4.7</v>
      </c>
      <c r="AO319" s="1">
        <v>39.5</v>
      </c>
      <c r="AP319" s="1">
        <v>0.7</v>
      </c>
      <c r="AQ319" s="1">
        <v>1.0</v>
      </c>
      <c r="AR319" s="1">
        <v>1.7</v>
      </c>
    </row>
    <row r="320" ht="15.75" customHeight="1">
      <c r="A320" s="1" t="str">
        <f>CONCATENATE(Scores!A320,"+++",Scores!C320)</f>
        <v>Duke+++North Carolina</v>
      </c>
      <c r="B320" s="1">
        <f>Scores!B320</f>
        <v>21</v>
      </c>
      <c r="C320" s="1">
        <f t="array" ref="C320:W320">XLOOKUP(LEFT(A320,SEARCH("+",A320)-1),'Offensive Data'!$A$2:$A$134,'Offensive Data'!$D$2:$X$134)</f>
        <v>21.5</v>
      </c>
      <c r="D320" s="1">
        <v>35.9</v>
      </c>
      <c r="E320" s="1">
        <v>60.0</v>
      </c>
      <c r="F320" s="1">
        <v>244.3</v>
      </c>
      <c r="G320" s="1">
        <v>2.2</v>
      </c>
      <c r="H320" s="1">
        <v>29.3</v>
      </c>
      <c r="I320" s="1">
        <v>92.5</v>
      </c>
      <c r="J320" s="1">
        <v>3.2</v>
      </c>
      <c r="K320" s="1">
        <v>1.0</v>
      </c>
      <c r="L320" s="1">
        <v>65.2</v>
      </c>
      <c r="M320" s="1">
        <v>336.8</v>
      </c>
      <c r="N320" s="1">
        <v>5.2</v>
      </c>
      <c r="O320" s="1">
        <v>10.8</v>
      </c>
      <c r="P320" s="1">
        <v>4.6</v>
      </c>
      <c r="Q320" s="1">
        <v>2.2</v>
      </c>
      <c r="R320" s="1">
        <v>17.6</v>
      </c>
      <c r="S320" s="1">
        <v>5.2</v>
      </c>
      <c r="T320" s="1">
        <v>50.1</v>
      </c>
      <c r="U320" s="1">
        <v>0.5</v>
      </c>
      <c r="V320" s="1">
        <v>1.0</v>
      </c>
      <c r="W320" s="1">
        <v>1.5</v>
      </c>
      <c r="X320" s="1">
        <f t="array" ref="X320:AR320">XLOOKUP(MID(A320, SEARCH("+++", A320) + 3, LEN(A320)),'Defensive Data'!$A$2:$A$134,'Defensive Data'!$D$2:$X$134)</f>
        <v>16.7</v>
      </c>
      <c r="Y320" s="1">
        <v>28.8</v>
      </c>
      <c r="Z320" s="1">
        <v>58.0</v>
      </c>
      <c r="AA320" s="1">
        <v>226.3</v>
      </c>
      <c r="AB320" s="1">
        <v>1.5</v>
      </c>
      <c r="AC320" s="1">
        <v>37.9</v>
      </c>
      <c r="AD320" s="1">
        <v>149.5</v>
      </c>
      <c r="AE320" s="1">
        <v>3.9</v>
      </c>
      <c r="AF320" s="1">
        <v>1.6</v>
      </c>
      <c r="AG320" s="1">
        <v>66.7</v>
      </c>
      <c r="AH320" s="1">
        <v>375.8</v>
      </c>
      <c r="AI320" s="1">
        <v>5.6</v>
      </c>
      <c r="AJ320" s="1">
        <v>8.5</v>
      </c>
      <c r="AK320" s="1">
        <v>8.8</v>
      </c>
      <c r="AL320" s="1">
        <v>2.1</v>
      </c>
      <c r="AM320" s="1">
        <v>19.5</v>
      </c>
      <c r="AN320" s="1">
        <v>6.7</v>
      </c>
      <c r="AO320" s="1">
        <v>59.4</v>
      </c>
      <c r="AP320" s="1">
        <v>0.5</v>
      </c>
      <c r="AQ320" s="1">
        <v>0.7</v>
      </c>
      <c r="AR320" s="1">
        <v>1.2</v>
      </c>
    </row>
    <row r="321" ht="15.75" customHeight="1">
      <c r="A321" s="1" t="str">
        <f>CONCATENATE(Scores!A321,"+++",Scores!C321)</f>
        <v>East Carolina+++Texas-San Antonio</v>
      </c>
      <c r="B321" s="1">
        <f>Scores!B321</f>
        <v>30</v>
      </c>
      <c r="C321" s="1">
        <f t="array" ref="C321:W321">XLOOKUP(LEFT(A321,SEARCH("+",A321)-1),'Offensive Data'!$A$2:$A$134,'Offensive Data'!$D$2:$X$134)</f>
        <v>19.8</v>
      </c>
      <c r="D321" s="1">
        <v>32.9</v>
      </c>
      <c r="E321" s="1">
        <v>60.3</v>
      </c>
      <c r="F321" s="1">
        <v>264.0</v>
      </c>
      <c r="G321" s="1">
        <v>2.0</v>
      </c>
      <c r="H321" s="1">
        <v>36.2</v>
      </c>
      <c r="I321" s="1">
        <v>172.4</v>
      </c>
      <c r="J321" s="1">
        <v>4.8</v>
      </c>
      <c r="K321" s="1">
        <v>1.8</v>
      </c>
      <c r="L321" s="1">
        <v>69.2</v>
      </c>
      <c r="M321" s="1">
        <v>436.4</v>
      </c>
      <c r="N321" s="1">
        <v>6.3</v>
      </c>
      <c r="O321" s="1">
        <v>11.6</v>
      </c>
      <c r="P321" s="1">
        <v>8.7</v>
      </c>
      <c r="Q321" s="1">
        <v>1.7</v>
      </c>
      <c r="R321" s="1">
        <v>22.0</v>
      </c>
      <c r="S321" s="1">
        <v>7.6</v>
      </c>
      <c r="T321" s="1">
        <v>63.6</v>
      </c>
      <c r="U321" s="1">
        <v>0.5</v>
      </c>
      <c r="V321" s="1">
        <v>1.8</v>
      </c>
      <c r="W321" s="1">
        <v>2.3</v>
      </c>
      <c r="X321" s="1" t="str">
        <f t="array" ref="X321">XLOOKUP(MID(A321, SEARCH("+++", A321) + 3, LEN(A321)),'Defensive Data'!$A$2:$A$134,'Defensive Data'!$D$2:$X$134)</f>
        <v>#N/A</v>
      </c>
    </row>
    <row r="322" ht="15.75" customHeight="1">
      <c r="A322" s="1" t="str">
        <f>CONCATENATE(Scores!A322,"+++",Scores!C322)</f>
        <v>Eastern Michigan+++Kent State</v>
      </c>
      <c r="B322" s="1">
        <f>Scores!B322</f>
        <v>52</v>
      </c>
      <c r="C322" s="1">
        <f t="array" ref="C322:W322">XLOOKUP(LEFT(A322,SEARCH("+",A322)-1),'Offensive Data'!$A$2:$A$134,'Offensive Data'!$D$2:$X$134)</f>
        <v>20.8</v>
      </c>
      <c r="D322" s="1">
        <v>34.7</v>
      </c>
      <c r="E322" s="1">
        <v>59.9</v>
      </c>
      <c r="F322" s="1">
        <v>236.0</v>
      </c>
      <c r="G322" s="1">
        <v>1.4</v>
      </c>
      <c r="H322" s="1">
        <v>39.8</v>
      </c>
      <c r="I322" s="1">
        <v>141.8</v>
      </c>
      <c r="J322" s="1">
        <v>3.6</v>
      </c>
      <c r="K322" s="1">
        <v>1.4</v>
      </c>
      <c r="L322" s="1">
        <v>74.4</v>
      </c>
      <c r="M322" s="1">
        <v>377.8</v>
      </c>
      <c r="N322" s="1">
        <v>5.1</v>
      </c>
      <c r="O322" s="1">
        <v>10.8</v>
      </c>
      <c r="P322" s="1">
        <v>8.5</v>
      </c>
      <c r="Q322" s="1">
        <v>2.3</v>
      </c>
      <c r="R322" s="1">
        <v>21.5</v>
      </c>
      <c r="S322" s="1">
        <v>6.4</v>
      </c>
      <c r="T322" s="1">
        <v>62.0</v>
      </c>
      <c r="U322" s="1">
        <v>0.6</v>
      </c>
      <c r="V322" s="1">
        <v>0.8</v>
      </c>
      <c r="W322" s="1">
        <v>1.4</v>
      </c>
      <c r="X322" s="1" t="str">
        <f t="array" ref="X322">XLOOKUP(MID(A322, SEARCH("+++", A322) + 3, LEN(A322)),'Defensive Data'!$A$2:$A$134,'Defensive Data'!$D$2:$X$134)</f>
        <v>#N/A</v>
      </c>
    </row>
    <row r="323" ht="15.75" customHeight="1">
      <c r="A323" s="1" t="str">
        <f>CONCATENATE(Scores!A323,"+++",Scores!C323)</f>
        <v>Florida Atlantic+++Wagner</v>
      </c>
      <c r="B323" s="1">
        <f>Scores!B323</f>
        <v>41</v>
      </c>
      <c r="C323" s="1">
        <f t="array" ref="C323:W323">XLOOKUP(LEFT(A323,SEARCH("+",A323)-1),'Offensive Data'!$A$2:$A$134,'Offensive Data'!$D$2:$X$134)</f>
        <v>17.1</v>
      </c>
      <c r="D323" s="1">
        <v>29.2</v>
      </c>
      <c r="E323" s="1">
        <v>58.6</v>
      </c>
      <c r="F323" s="1">
        <v>208.6</v>
      </c>
      <c r="G323" s="1">
        <v>1.2</v>
      </c>
      <c r="H323" s="1">
        <v>38.2</v>
      </c>
      <c r="I323" s="1">
        <v>189.0</v>
      </c>
      <c r="J323" s="1">
        <v>5.0</v>
      </c>
      <c r="K323" s="1">
        <v>2.0</v>
      </c>
      <c r="L323" s="1">
        <v>67.3</v>
      </c>
      <c r="M323" s="1">
        <v>397.6</v>
      </c>
      <c r="N323" s="1">
        <v>5.9</v>
      </c>
      <c r="O323" s="1">
        <v>9.3</v>
      </c>
      <c r="P323" s="1">
        <v>8.5</v>
      </c>
      <c r="Q323" s="1">
        <v>1.7</v>
      </c>
      <c r="R323" s="1">
        <v>19.5</v>
      </c>
      <c r="S323" s="1">
        <v>6.6</v>
      </c>
      <c r="T323" s="1">
        <v>51.6</v>
      </c>
      <c r="U323" s="1">
        <v>0.6</v>
      </c>
      <c r="V323" s="1">
        <v>0.9</v>
      </c>
      <c r="W323" s="1">
        <v>1.5</v>
      </c>
      <c r="X323" s="1" t="str">
        <f t="array" ref="X323">XLOOKUP(MID(A323, SEARCH("+++", A323) + 3, LEN(A323)),'Defensive Data'!$A$2:$A$134,'Defensive Data'!$D$2:$X$134)</f>
        <v>#N/A</v>
      </c>
    </row>
    <row r="324" ht="15.75" customHeight="1">
      <c r="A324" s="1" t="str">
        <f>CONCATENATE(Scores!A324,"+++",Scores!C324)</f>
        <v>Florida International+++Louisiana Tech</v>
      </c>
      <c r="B324" s="1">
        <f>Scores!B324</f>
        <v>17</v>
      </c>
      <c r="C324" s="1">
        <f t="array" ref="C324:W324">XLOOKUP(LEFT(A324,SEARCH("+",A324)-1),'Offensive Data'!$A$2:$A$134,'Offensive Data'!$D$2:$X$134)</f>
        <v>17.2</v>
      </c>
      <c r="D324" s="1">
        <v>27.8</v>
      </c>
      <c r="E324" s="1">
        <v>61.7</v>
      </c>
      <c r="F324" s="1">
        <v>229.4</v>
      </c>
      <c r="G324" s="1">
        <v>2.0</v>
      </c>
      <c r="H324" s="1">
        <v>33.4</v>
      </c>
      <c r="I324" s="1">
        <v>120.6</v>
      </c>
      <c r="J324" s="1">
        <v>3.6</v>
      </c>
      <c r="K324" s="1">
        <v>1.3</v>
      </c>
      <c r="L324" s="1">
        <v>61.3</v>
      </c>
      <c r="M324" s="1">
        <v>350.0</v>
      </c>
      <c r="N324" s="1">
        <v>5.7</v>
      </c>
      <c r="O324" s="1">
        <v>9.9</v>
      </c>
      <c r="P324" s="1">
        <v>6.4</v>
      </c>
      <c r="Q324" s="1">
        <v>1.6</v>
      </c>
      <c r="R324" s="1">
        <v>17.9</v>
      </c>
      <c r="S324" s="1">
        <v>5.5</v>
      </c>
      <c r="T324" s="1">
        <v>47.4</v>
      </c>
      <c r="U324" s="1">
        <v>0.7</v>
      </c>
      <c r="V324" s="1">
        <v>0.9</v>
      </c>
      <c r="W324" s="1">
        <v>1.6</v>
      </c>
      <c r="X324" s="1">
        <f t="array" ref="X324:AR324">XLOOKUP(MID(A324, SEARCH("+++", A324) + 3, LEN(A324)),'Defensive Data'!$A$2:$A$134,'Defensive Data'!$D$2:$X$134)</f>
        <v>15.7</v>
      </c>
      <c r="Y324" s="1">
        <v>28.2</v>
      </c>
      <c r="Z324" s="1">
        <v>55.7</v>
      </c>
      <c r="AA324" s="1">
        <v>172.8</v>
      </c>
      <c r="AB324" s="1">
        <v>0.8</v>
      </c>
      <c r="AC324" s="1">
        <v>37.8</v>
      </c>
      <c r="AD324" s="1">
        <v>135.5</v>
      </c>
      <c r="AE324" s="1">
        <v>3.6</v>
      </c>
      <c r="AF324" s="1">
        <v>1.6</v>
      </c>
      <c r="AG324" s="1">
        <v>65.9</v>
      </c>
      <c r="AH324" s="1">
        <v>308.4</v>
      </c>
      <c r="AI324" s="1">
        <v>4.7</v>
      </c>
      <c r="AJ324" s="1">
        <v>7.6</v>
      </c>
      <c r="AK324" s="1">
        <v>8.2</v>
      </c>
      <c r="AL324" s="1">
        <v>1.9</v>
      </c>
      <c r="AM324" s="1">
        <v>17.8</v>
      </c>
      <c r="AN324" s="1">
        <v>4.8</v>
      </c>
      <c r="AO324" s="1">
        <v>41.8</v>
      </c>
      <c r="AP324" s="1">
        <v>0.9</v>
      </c>
      <c r="AQ324" s="1">
        <v>0.4</v>
      </c>
      <c r="AR324" s="1">
        <v>1.3</v>
      </c>
    </row>
    <row r="325" ht="15.75" customHeight="1">
      <c r="A325" s="1" t="str">
        <f>CONCATENATE(Scores!A325,"+++",Scores!C325)</f>
        <v>Georgia Southern+++Georgia State</v>
      </c>
      <c r="B325" s="1">
        <f>Scores!B325</f>
        <v>38</v>
      </c>
      <c r="C325" s="1">
        <f t="array" ref="C325:W325">XLOOKUP(LEFT(A325,SEARCH("+",A325)-1),'Offensive Data'!$A$2:$A$134,'Offensive Data'!$D$2:$X$134)</f>
        <v>22.2</v>
      </c>
      <c r="D325" s="1">
        <v>34.3</v>
      </c>
      <c r="E325" s="1">
        <v>64.8</v>
      </c>
      <c r="F325" s="1">
        <v>237.8</v>
      </c>
      <c r="G325" s="1">
        <v>1.6</v>
      </c>
      <c r="H325" s="1">
        <v>34.4</v>
      </c>
      <c r="I325" s="1">
        <v>128.4</v>
      </c>
      <c r="J325" s="1">
        <v>3.7</v>
      </c>
      <c r="K325" s="1">
        <v>1.8</v>
      </c>
      <c r="L325" s="1">
        <v>68.7</v>
      </c>
      <c r="M325" s="1">
        <v>366.2</v>
      </c>
      <c r="N325" s="1">
        <v>5.3</v>
      </c>
      <c r="O325" s="1">
        <v>10.7</v>
      </c>
      <c r="P325" s="1">
        <v>8.4</v>
      </c>
      <c r="Q325" s="1">
        <v>2.7</v>
      </c>
      <c r="R325" s="1">
        <v>21.8</v>
      </c>
      <c r="S325" s="1">
        <v>5.6</v>
      </c>
      <c r="T325" s="1">
        <v>48.3</v>
      </c>
      <c r="U325" s="1">
        <v>0.8</v>
      </c>
      <c r="V325" s="1">
        <v>0.8</v>
      </c>
      <c r="W325" s="1">
        <v>1.7</v>
      </c>
      <c r="X325" s="1">
        <f t="array" ref="X325:AR325">XLOOKUP(MID(A325, SEARCH("+++", A325) + 3, LEN(A325)),'Defensive Data'!$A$2:$A$134,'Defensive Data'!$D$2:$X$134)</f>
        <v>17</v>
      </c>
      <c r="Y325" s="1">
        <v>26.9</v>
      </c>
      <c r="Z325" s="1">
        <v>63.2</v>
      </c>
      <c r="AA325" s="1">
        <v>208.3</v>
      </c>
      <c r="AB325" s="1">
        <v>1.8</v>
      </c>
      <c r="AC325" s="1">
        <v>40.3</v>
      </c>
      <c r="AD325" s="1">
        <v>210.3</v>
      </c>
      <c r="AE325" s="1">
        <v>5.2</v>
      </c>
      <c r="AF325" s="1">
        <v>2.3</v>
      </c>
      <c r="AG325" s="1">
        <v>67.2</v>
      </c>
      <c r="AH325" s="1">
        <v>418.7</v>
      </c>
      <c r="AI325" s="1">
        <v>6.2</v>
      </c>
      <c r="AJ325" s="1">
        <v>9.8</v>
      </c>
      <c r="AK325" s="1">
        <v>10.8</v>
      </c>
      <c r="AL325" s="1">
        <v>1.5</v>
      </c>
      <c r="AM325" s="1">
        <v>22.1</v>
      </c>
      <c r="AN325" s="1">
        <v>6.6</v>
      </c>
      <c r="AO325" s="1">
        <v>58.3</v>
      </c>
      <c r="AP325" s="1">
        <v>0.7</v>
      </c>
      <c r="AQ325" s="1">
        <v>0.8</v>
      </c>
      <c r="AR325" s="1">
        <v>1.4</v>
      </c>
    </row>
    <row r="326" ht="15.75" customHeight="1">
      <c r="A326" s="1" t="str">
        <f>CONCATENATE(Scores!A326,"+++",Scores!C326)</f>
        <v>Indiana+++Maryland</v>
      </c>
      <c r="B326" s="1">
        <f>Scores!B326</f>
        <v>42</v>
      </c>
      <c r="C326" s="1">
        <f t="array" ref="C326:W326">XLOOKUP(LEFT(A326,SEARCH("+",A326)-1),'Offensive Data'!$A$2:$A$134,'Offensive Data'!$D$2:$X$134)</f>
        <v>18.9</v>
      </c>
      <c r="D326" s="1">
        <v>27.8</v>
      </c>
      <c r="E326" s="1">
        <v>68.1</v>
      </c>
      <c r="F326" s="1">
        <v>261.3</v>
      </c>
      <c r="G326" s="1">
        <v>2.5</v>
      </c>
      <c r="H326" s="1">
        <v>37.8</v>
      </c>
      <c r="I326" s="1">
        <v>165.1</v>
      </c>
      <c r="J326" s="1">
        <v>4.4</v>
      </c>
      <c r="K326" s="1">
        <v>2.8</v>
      </c>
      <c r="L326" s="1">
        <v>65.5</v>
      </c>
      <c r="M326" s="1">
        <v>426.4</v>
      </c>
      <c r="N326" s="1">
        <v>6.5</v>
      </c>
      <c r="O326" s="1">
        <v>11.9</v>
      </c>
      <c r="P326" s="1">
        <v>10.0</v>
      </c>
      <c r="Q326" s="1">
        <v>1.6</v>
      </c>
      <c r="R326" s="1">
        <v>23.5</v>
      </c>
      <c r="S326" s="1">
        <v>4.8</v>
      </c>
      <c r="T326" s="1">
        <v>43.9</v>
      </c>
      <c r="U326" s="1">
        <v>0.2</v>
      </c>
      <c r="V326" s="1">
        <v>0.5</v>
      </c>
      <c r="W326" s="1">
        <v>0.7</v>
      </c>
      <c r="X326" s="1">
        <f t="array" ref="X326:AR326">XLOOKUP(MID(A326, SEARCH("+++", A326) + 3, LEN(A326)),'Defensive Data'!$A$2:$A$134,'Defensive Data'!$D$2:$X$134)</f>
        <v>20</v>
      </c>
      <c r="Y326" s="1">
        <v>32.0</v>
      </c>
      <c r="Z326" s="1">
        <v>62.5</v>
      </c>
      <c r="AA326" s="1">
        <v>241.3</v>
      </c>
      <c r="AB326" s="1">
        <v>1.8</v>
      </c>
      <c r="AC326" s="1">
        <v>35.6</v>
      </c>
      <c r="AD326" s="1">
        <v>136.8</v>
      </c>
      <c r="AE326" s="1">
        <v>3.8</v>
      </c>
      <c r="AF326" s="1">
        <v>1.6</v>
      </c>
      <c r="AG326" s="1">
        <v>67.6</v>
      </c>
      <c r="AH326" s="1">
        <v>378.1</v>
      </c>
      <c r="AI326" s="1">
        <v>5.6</v>
      </c>
      <c r="AJ326" s="1">
        <v>10.5</v>
      </c>
      <c r="AK326" s="1">
        <v>8.2</v>
      </c>
      <c r="AL326" s="1">
        <v>2.3</v>
      </c>
      <c r="AM326" s="1">
        <v>21.0</v>
      </c>
      <c r="AN326" s="1">
        <v>6.0</v>
      </c>
      <c r="AO326" s="1">
        <v>52.8</v>
      </c>
      <c r="AP326" s="1">
        <v>0.7</v>
      </c>
      <c r="AQ326" s="1">
        <v>0.8</v>
      </c>
      <c r="AR326" s="1">
        <v>1.4</v>
      </c>
    </row>
    <row r="327" ht="15.75" customHeight="1">
      <c r="A327" s="1" t="str">
        <f>CONCATENATE(Scores!A327,"+++",Scores!C327)</f>
        <v> Iowa State+++Houston</v>
      </c>
      <c r="B327" s="1">
        <f>Scores!B327</f>
        <v>20</v>
      </c>
      <c r="C327" s="1" t="str">
        <f t="array" ref="C327">XLOOKUP(LEFT(A327,SEARCH("+",A327)-1),'Offensive Data'!$A$2:$A$134,'Offensive Data'!$D$2:$X$134)</f>
        <v>#N/A</v>
      </c>
      <c r="X327" s="1">
        <f t="array" ref="X327:AR327">XLOOKUP(MID(A327, SEARCH("+++", A327) + 3, LEN(A327)),'Defensive Data'!$A$2:$A$134,'Defensive Data'!$D$2:$X$134)</f>
        <v>16.6</v>
      </c>
      <c r="Y327" s="1">
        <v>27.8</v>
      </c>
      <c r="Z327" s="1">
        <v>59.8</v>
      </c>
      <c r="AA327" s="1">
        <v>188.8</v>
      </c>
      <c r="AB327" s="1">
        <v>1.5</v>
      </c>
      <c r="AC327" s="1">
        <v>34.7</v>
      </c>
      <c r="AD327" s="1">
        <v>135.9</v>
      </c>
      <c r="AE327" s="1">
        <v>3.9</v>
      </c>
      <c r="AF327" s="1">
        <v>1.2</v>
      </c>
      <c r="AG327" s="1">
        <v>62.4</v>
      </c>
      <c r="AH327" s="1">
        <v>324.8</v>
      </c>
      <c r="AI327" s="1">
        <v>5.2</v>
      </c>
      <c r="AJ327" s="1">
        <v>8.6</v>
      </c>
      <c r="AK327" s="1">
        <v>7.5</v>
      </c>
      <c r="AL327" s="1">
        <v>1.8</v>
      </c>
      <c r="AM327" s="1">
        <v>17.8</v>
      </c>
      <c r="AN327" s="1">
        <v>4.5</v>
      </c>
      <c r="AO327" s="1">
        <v>42.3</v>
      </c>
      <c r="AP327" s="1">
        <v>0.6</v>
      </c>
      <c r="AQ327" s="1">
        <v>1.0</v>
      </c>
      <c r="AR327" s="1">
        <v>1.6</v>
      </c>
    </row>
    <row r="328" ht="15.75" customHeight="1">
      <c r="A328" s="1" t="str">
        <f>CONCATENATE(Scores!A328,"+++",Scores!C328)</f>
        <v>James Madison+++Ball State</v>
      </c>
      <c r="B328" s="1">
        <f>Scores!B328</f>
        <v>63</v>
      </c>
      <c r="C328" s="1">
        <f t="array" ref="C328:W328">XLOOKUP(LEFT(A328,SEARCH("+",A328)-1),'Offensive Data'!$A$2:$A$134,'Offensive Data'!$D$2:$X$134)</f>
        <v>17.8</v>
      </c>
      <c r="D328" s="1">
        <v>29.4</v>
      </c>
      <c r="E328" s="1">
        <v>60.7</v>
      </c>
      <c r="F328" s="1">
        <v>216.1</v>
      </c>
      <c r="G328" s="1">
        <v>2.2</v>
      </c>
      <c r="H328" s="1">
        <v>40.0</v>
      </c>
      <c r="I328" s="1">
        <v>191.5</v>
      </c>
      <c r="J328" s="1">
        <v>4.8</v>
      </c>
      <c r="K328" s="1">
        <v>1.5</v>
      </c>
      <c r="L328" s="1">
        <v>69.4</v>
      </c>
      <c r="M328" s="1">
        <v>407.6</v>
      </c>
      <c r="N328" s="1">
        <v>5.9</v>
      </c>
      <c r="O328" s="1">
        <v>9.4</v>
      </c>
      <c r="P328" s="1">
        <v>10.0</v>
      </c>
      <c r="Q328" s="1">
        <v>1.3</v>
      </c>
      <c r="R328" s="1">
        <v>20.7</v>
      </c>
      <c r="S328" s="1">
        <v>7.0</v>
      </c>
      <c r="T328" s="1">
        <v>54.5</v>
      </c>
      <c r="U328" s="1">
        <v>0.4</v>
      </c>
      <c r="V328" s="1">
        <v>0.3</v>
      </c>
      <c r="W328" s="1">
        <v>0.7</v>
      </c>
      <c r="X328" s="1">
        <f t="array" ref="X328:AR328">XLOOKUP(MID(A328, SEARCH("+++", A328) + 3, LEN(A328)),'Defensive Data'!$A$2:$A$134,'Defensive Data'!$D$2:$X$134)</f>
        <v>19.4</v>
      </c>
      <c r="Y328" s="1">
        <v>31.3</v>
      </c>
      <c r="Z328" s="1">
        <v>62.0</v>
      </c>
      <c r="AA328" s="1">
        <v>279.6</v>
      </c>
      <c r="AB328" s="1">
        <v>3.1</v>
      </c>
      <c r="AC328" s="1">
        <v>33.7</v>
      </c>
      <c r="AD328" s="1">
        <v>175.3</v>
      </c>
      <c r="AE328" s="1">
        <v>5.2</v>
      </c>
      <c r="AF328" s="1">
        <v>2.0</v>
      </c>
      <c r="AG328" s="1">
        <v>65.0</v>
      </c>
      <c r="AH328" s="1">
        <v>454.9</v>
      </c>
      <c r="AI328" s="1">
        <v>7.0</v>
      </c>
      <c r="AJ328" s="1">
        <v>12.1</v>
      </c>
      <c r="AK328" s="1">
        <v>8.3</v>
      </c>
      <c r="AL328" s="1">
        <v>1.8</v>
      </c>
      <c r="AM328" s="1">
        <v>22.3</v>
      </c>
      <c r="AN328" s="1">
        <v>5.3</v>
      </c>
      <c r="AO328" s="1">
        <v>49.4</v>
      </c>
      <c r="AP328" s="1">
        <v>0.7</v>
      </c>
      <c r="AQ328" s="1">
        <v>0.7</v>
      </c>
      <c r="AR328" s="1">
        <v>1.3</v>
      </c>
    </row>
    <row r="329" ht="15.75" customHeight="1">
      <c r="A329" s="1" t="str">
        <f>CONCATENATE(Scores!A329,"+++",Scores!C329)</f>
        <v> Kansas State+++ Oklahoma State</v>
      </c>
      <c r="B329" s="1">
        <f>Scores!B329</f>
        <v>42</v>
      </c>
      <c r="C329" s="1" t="str">
        <f t="array" ref="C329">XLOOKUP(LEFT(A329,SEARCH("+",A329)-1),'Offensive Data'!$A$2:$A$134,'Offensive Data'!$D$2:$X$134)</f>
        <v>#N/A</v>
      </c>
      <c r="X329" s="1" t="str">
        <f t="array" ref="X329">XLOOKUP(MID(A329, SEARCH("+++", A329) + 3, LEN(A329)),'Defensive Data'!$A$2:$A$134,'Defensive Data'!$D$2:$X$134)</f>
        <v>#N/A</v>
      </c>
    </row>
    <row r="330" ht="15.75" customHeight="1">
      <c r="A330" s="1" t="str">
        <f>CONCATENATE(Scores!A330,"+++",Scores!C330)</f>
        <v>Kentucky+++ Mississippi</v>
      </c>
      <c r="B330" s="1">
        <f>Scores!B330</f>
        <v>20</v>
      </c>
      <c r="C330" s="1">
        <f t="array" ref="C330:W330">XLOOKUP(LEFT(A330,SEARCH("+",A330)-1),'Offensive Data'!$A$2:$A$134,'Offensive Data'!$D$2:$X$134)</f>
        <v>13.9</v>
      </c>
      <c r="D330" s="1">
        <v>26.0</v>
      </c>
      <c r="E330" s="1">
        <v>53.5</v>
      </c>
      <c r="F330" s="1">
        <v>184.8</v>
      </c>
      <c r="G330" s="1">
        <v>1.3</v>
      </c>
      <c r="H330" s="1">
        <v>36.9</v>
      </c>
      <c r="I330" s="1">
        <v>145.6</v>
      </c>
      <c r="J330" s="1">
        <v>3.9</v>
      </c>
      <c r="K330" s="1">
        <v>0.9</v>
      </c>
      <c r="L330" s="1">
        <v>62.9</v>
      </c>
      <c r="M330" s="1">
        <v>330.4</v>
      </c>
      <c r="N330" s="1">
        <v>5.3</v>
      </c>
      <c r="O330" s="1">
        <v>7.6</v>
      </c>
      <c r="P330" s="1">
        <v>9.6</v>
      </c>
      <c r="Q330" s="1">
        <v>2.3</v>
      </c>
      <c r="R330" s="1">
        <v>19.4</v>
      </c>
      <c r="S330" s="1">
        <v>6.3</v>
      </c>
      <c r="T330" s="1">
        <v>52.1</v>
      </c>
      <c r="U330" s="1">
        <v>0.5</v>
      </c>
      <c r="V330" s="1">
        <v>1.4</v>
      </c>
      <c r="W330" s="1">
        <v>1.9</v>
      </c>
      <c r="X330" s="1" t="str">
        <f t="array" ref="X330">XLOOKUP(MID(A330, SEARCH("+++", A330) + 3, LEN(A330)),'Defensive Data'!$A$2:$A$134,'Defensive Data'!$D$2:$X$134)</f>
        <v>#N/A</v>
      </c>
    </row>
    <row r="331" ht="15.75" customHeight="1">
      <c r="A331" s="1" t="str">
        <f>CONCATENATE(Scores!A331,"+++",Scores!C331)</f>
        <v>Louisiana+++Wake Forest</v>
      </c>
      <c r="B331" s="1">
        <f>Scores!B331</f>
        <v>41</v>
      </c>
      <c r="C331" s="1">
        <f t="array" ref="C331:W331">XLOOKUP(LEFT(A331,SEARCH("+",A331)-1),'Offensive Data'!$A$2:$A$134,'Offensive Data'!$D$2:$X$134)</f>
        <v>19.2</v>
      </c>
      <c r="D331" s="1">
        <v>29.4</v>
      </c>
      <c r="E331" s="1">
        <v>65.3</v>
      </c>
      <c r="F331" s="1">
        <v>248.7</v>
      </c>
      <c r="G331" s="1">
        <v>1.6</v>
      </c>
      <c r="H331" s="1">
        <v>34.6</v>
      </c>
      <c r="I331" s="1">
        <v>166.4</v>
      </c>
      <c r="J331" s="1">
        <v>4.8</v>
      </c>
      <c r="K331" s="1">
        <v>1.9</v>
      </c>
      <c r="L331" s="1">
        <v>64.0</v>
      </c>
      <c r="M331" s="1">
        <v>415.1</v>
      </c>
      <c r="N331" s="1">
        <v>6.5</v>
      </c>
      <c r="O331" s="1">
        <v>10.7</v>
      </c>
      <c r="P331" s="1">
        <v>8.1</v>
      </c>
      <c r="Q331" s="1">
        <v>1.9</v>
      </c>
      <c r="R331" s="1">
        <v>20.7</v>
      </c>
      <c r="S331" s="1">
        <v>5.9</v>
      </c>
      <c r="T331" s="1">
        <v>48.8</v>
      </c>
      <c r="U331" s="1">
        <v>0.1</v>
      </c>
      <c r="V331" s="1">
        <v>0.6</v>
      </c>
      <c r="W331" s="1">
        <v>0.8</v>
      </c>
      <c r="X331" s="1">
        <f t="array" ref="X331:AR331">XLOOKUP(MID(A331, SEARCH("+++", A331) + 3, LEN(A331)),'Defensive Data'!$A$2:$A$134,'Defensive Data'!$D$2:$X$134)</f>
        <v>26.7</v>
      </c>
      <c r="Y331" s="1">
        <v>37.9</v>
      </c>
      <c r="Z331" s="1">
        <v>70.3</v>
      </c>
      <c r="AA331" s="1">
        <v>277.8</v>
      </c>
      <c r="AB331" s="1">
        <v>1.9</v>
      </c>
      <c r="AC331" s="1">
        <v>34.5</v>
      </c>
      <c r="AD331" s="1">
        <v>157.2</v>
      </c>
      <c r="AE331" s="1">
        <v>4.6</v>
      </c>
      <c r="AF331" s="1">
        <v>1.7</v>
      </c>
      <c r="AG331" s="1">
        <v>72.4</v>
      </c>
      <c r="AH331" s="1">
        <v>435.0</v>
      </c>
      <c r="AI331" s="1">
        <v>6.0</v>
      </c>
      <c r="AJ331" s="1">
        <v>14.2</v>
      </c>
      <c r="AK331" s="1">
        <v>10.1</v>
      </c>
      <c r="AL331" s="1">
        <v>1.2</v>
      </c>
      <c r="AM331" s="1">
        <v>25.4</v>
      </c>
      <c r="AN331" s="1">
        <v>6.2</v>
      </c>
      <c r="AO331" s="1">
        <v>58.5</v>
      </c>
      <c r="AP331" s="1">
        <v>0.5</v>
      </c>
      <c r="AQ331" s="1">
        <v>0.9</v>
      </c>
      <c r="AR331" s="1">
        <v>1.4</v>
      </c>
    </row>
    <row r="332" ht="15.75" customHeight="1">
      <c r="A332" s="1" t="str">
        <f>CONCATENATE(Scores!A332,"+++",Scores!C332)</f>
        <v> Louisiana State+++South Alabama</v>
      </c>
      <c r="B332" s="1">
        <f>Scores!B332</f>
        <v>42</v>
      </c>
      <c r="C332" s="1" t="str">
        <f t="array" ref="C332">XLOOKUP(LEFT(A332,SEARCH("+",A332)-1),'Offensive Data'!$A$2:$A$134,'Offensive Data'!$D$2:$X$134)</f>
        <v>#N/A</v>
      </c>
      <c r="X332" s="1">
        <f t="array" ref="X332:AR332">XLOOKUP(MID(A332, SEARCH("+++", A332) + 3, LEN(A332)),'Defensive Data'!$A$2:$A$134,'Defensive Data'!$D$2:$X$134)</f>
        <v>21.4</v>
      </c>
      <c r="Y332" s="1">
        <v>33.1</v>
      </c>
      <c r="Z332" s="1">
        <v>64.7</v>
      </c>
      <c r="AA332" s="1">
        <v>248.8</v>
      </c>
      <c r="AB332" s="1">
        <v>1.4</v>
      </c>
      <c r="AC332" s="1">
        <v>35.0</v>
      </c>
      <c r="AD332" s="1">
        <v>142.2</v>
      </c>
      <c r="AE332" s="1">
        <v>4.1</v>
      </c>
      <c r="AF332" s="1">
        <v>1.5</v>
      </c>
      <c r="AG332" s="1">
        <v>68.1</v>
      </c>
      <c r="AH332" s="1">
        <v>391.0</v>
      </c>
      <c r="AI332" s="1">
        <v>5.7</v>
      </c>
      <c r="AJ332" s="1">
        <v>11.1</v>
      </c>
      <c r="AK332" s="1">
        <v>7.8</v>
      </c>
      <c r="AL332" s="1">
        <v>2.2</v>
      </c>
      <c r="AM332" s="1">
        <v>21.1</v>
      </c>
      <c r="AN332" s="1">
        <v>5.4</v>
      </c>
      <c r="AO332" s="1">
        <v>48.3</v>
      </c>
      <c r="AP332" s="1">
        <v>0.3</v>
      </c>
      <c r="AQ332" s="1">
        <v>1.2</v>
      </c>
      <c r="AR332" s="1">
        <v>1.5</v>
      </c>
    </row>
    <row r="333" ht="15.75" customHeight="1">
      <c r="A333" s="1" t="str">
        <f>CONCATENATE(Scores!A333,"+++",Scores!C333)</f>
        <v>Louisiana-Monroe+++Troy</v>
      </c>
      <c r="B333" s="1">
        <f>Scores!B333</f>
        <v>13</v>
      </c>
      <c r="C333" s="1">
        <f t="array" ref="C333:W333">XLOOKUP(LEFT(A333,SEARCH("+",A333)-1),'Offensive Data'!$A$2:$A$134,'Offensive Data'!$D$2:$X$134)</f>
        <v>11.2</v>
      </c>
      <c r="D333" s="1">
        <v>20.5</v>
      </c>
      <c r="E333" s="1">
        <v>54.5</v>
      </c>
      <c r="F333" s="1">
        <v>134.8</v>
      </c>
      <c r="G333" s="1">
        <v>0.9</v>
      </c>
      <c r="H333" s="1">
        <v>38.0</v>
      </c>
      <c r="I333" s="1">
        <v>169.7</v>
      </c>
      <c r="J333" s="1">
        <v>4.5</v>
      </c>
      <c r="K333" s="1">
        <v>1.4</v>
      </c>
      <c r="L333" s="1">
        <v>58.5</v>
      </c>
      <c r="M333" s="1">
        <v>304.4</v>
      </c>
      <c r="N333" s="1">
        <v>5.2</v>
      </c>
      <c r="O333" s="1">
        <v>5.6</v>
      </c>
      <c r="P333" s="1">
        <v>8.3</v>
      </c>
      <c r="Q333" s="1">
        <v>1.6</v>
      </c>
      <c r="R333" s="1">
        <v>15.4</v>
      </c>
      <c r="S333" s="1">
        <v>5.9</v>
      </c>
      <c r="T333" s="1">
        <v>43.3</v>
      </c>
      <c r="U333" s="1">
        <v>0.3</v>
      </c>
      <c r="V333" s="1">
        <v>1.0</v>
      </c>
      <c r="W333" s="1">
        <v>1.3</v>
      </c>
      <c r="X333" s="1">
        <f t="array" ref="X333:AR333">XLOOKUP(MID(A333, SEARCH("+++", A333) + 3, LEN(A333)),'Defensive Data'!$A$2:$A$134,'Defensive Data'!$D$2:$X$134)</f>
        <v>18.5</v>
      </c>
      <c r="Y333" s="1">
        <v>27.7</v>
      </c>
      <c r="Z333" s="1">
        <v>66.9</v>
      </c>
      <c r="AA333" s="1">
        <v>221.6</v>
      </c>
      <c r="AB333" s="1">
        <v>1.1</v>
      </c>
      <c r="AC333" s="1">
        <v>33.8</v>
      </c>
      <c r="AD333" s="1">
        <v>145.3</v>
      </c>
      <c r="AE333" s="1">
        <v>4.3</v>
      </c>
      <c r="AF333" s="1">
        <v>2.0</v>
      </c>
      <c r="AG333" s="1">
        <v>61.4</v>
      </c>
      <c r="AH333" s="1">
        <v>366.9</v>
      </c>
      <c r="AI333" s="1">
        <v>6.0</v>
      </c>
      <c r="AJ333" s="1">
        <v>8.9</v>
      </c>
      <c r="AK333" s="1">
        <v>7.3</v>
      </c>
      <c r="AL333" s="1">
        <v>2.9</v>
      </c>
      <c r="AM333" s="1">
        <v>19.2</v>
      </c>
      <c r="AN333" s="1">
        <v>5.8</v>
      </c>
      <c r="AO333" s="1">
        <v>51.9</v>
      </c>
      <c r="AP333" s="1">
        <v>0.3</v>
      </c>
      <c r="AQ333" s="1">
        <v>0.5</v>
      </c>
      <c r="AR333" s="1">
        <v>0.8</v>
      </c>
    </row>
    <row r="334" ht="15.75" customHeight="1">
      <c r="A334" s="1" t="str">
        <f>CONCATENATE(Scores!A334,"+++",Scores!C334)</f>
        <v>Marshall+++Western Michigan</v>
      </c>
      <c r="B334" s="1">
        <f>Scores!B334</f>
        <v>27</v>
      </c>
      <c r="C334" s="1">
        <f t="array" ref="C334:W334">XLOOKUP(LEFT(A334,SEARCH("+",A334)-1),'Offensive Data'!$A$2:$A$134,'Offensive Data'!$D$2:$X$134)</f>
        <v>14.9</v>
      </c>
      <c r="D334" s="1">
        <v>25.6</v>
      </c>
      <c r="E334" s="1">
        <v>58.3</v>
      </c>
      <c r="F334" s="1">
        <v>181.1</v>
      </c>
      <c r="G334" s="1">
        <v>2.1</v>
      </c>
      <c r="H334" s="1">
        <v>39.2</v>
      </c>
      <c r="I334" s="1">
        <v>201.7</v>
      </c>
      <c r="J334" s="1">
        <v>5.2</v>
      </c>
      <c r="K334" s="1">
        <v>1.6</v>
      </c>
      <c r="L334" s="1">
        <v>64.8</v>
      </c>
      <c r="M334" s="1">
        <v>382.8</v>
      </c>
      <c r="N334" s="1">
        <v>5.9</v>
      </c>
      <c r="O334" s="1">
        <v>7.8</v>
      </c>
      <c r="P334" s="1">
        <v>10.5</v>
      </c>
      <c r="Q334" s="1">
        <v>1.6</v>
      </c>
      <c r="R334" s="1">
        <v>19.8</v>
      </c>
      <c r="S334" s="1">
        <v>5.4</v>
      </c>
      <c r="T334" s="1">
        <v>43.5</v>
      </c>
      <c r="U334" s="1">
        <v>0.5</v>
      </c>
      <c r="V334" s="1">
        <v>0.3</v>
      </c>
      <c r="W334" s="1">
        <v>0.8</v>
      </c>
      <c r="X334" s="1">
        <f t="array" ref="X334:AR334">XLOOKUP(MID(A334, SEARCH("+++", A334) + 3, LEN(A334)),'Defensive Data'!$A$2:$A$134,'Defensive Data'!$D$2:$X$134)</f>
        <v>16.2</v>
      </c>
      <c r="Y334" s="1">
        <v>26.5</v>
      </c>
      <c r="Z334" s="1">
        <v>61.3</v>
      </c>
      <c r="AA334" s="1">
        <v>222.6</v>
      </c>
      <c r="AB334" s="1">
        <v>1.5</v>
      </c>
      <c r="AC334" s="1">
        <v>38.5</v>
      </c>
      <c r="AD334" s="1">
        <v>192.5</v>
      </c>
      <c r="AE334" s="1">
        <v>5.0</v>
      </c>
      <c r="AF334" s="1">
        <v>2.2</v>
      </c>
      <c r="AG334" s="1">
        <v>64.9</v>
      </c>
      <c r="AH334" s="1">
        <v>415.1</v>
      </c>
      <c r="AI334" s="1">
        <v>6.4</v>
      </c>
      <c r="AJ334" s="1">
        <v>9.5</v>
      </c>
      <c r="AK334" s="1">
        <v>10.1</v>
      </c>
      <c r="AL334" s="1">
        <v>1.6</v>
      </c>
      <c r="AM334" s="1">
        <v>21.2</v>
      </c>
      <c r="AN334" s="1">
        <v>4.6</v>
      </c>
      <c r="AO334" s="1">
        <v>38.7</v>
      </c>
      <c r="AP334" s="1">
        <v>1.0</v>
      </c>
      <c r="AQ334" s="1">
        <v>0.6</v>
      </c>
      <c r="AR334" s="1">
        <v>1.6</v>
      </c>
    </row>
    <row r="335" ht="15.75" customHeight="1">
      <c r="A335" s="1" t="str">
        <f>CONCATENATE(Scores!A335,"+++",Scores!C335)</f>
        <v>Memphis+++Middle Tennessee State</v>
      </c>
      <c r="B335" s="1">
        <f>Scores!B335</f>
        <v>24</v>
      </c>
      <c r="C335" s="1">
        <f t="array" ref="C335:W335">XLOOKUP(LEFT(A335,SEARCH("+",A335)-1),'Offensive Data'!$A$2:$A$134,'Offensive Data'!$D$2:$X$134)</f>
        <v>23.8</v>
      </c>
      <c r="D335" s="1">
        <v>36.8</v>
      </c>
      <c r="E335" s="1">
        <v>64.7</v>
      </c>
      <c r="F335" s="1">
        <v>270.5</v>
      </c>
      <c r="G335" s="1">
        <v>1.9</v>
      </c>
      <c r="H335" s="1">
        <v>34.5</v>
      </c>
      <c r="I335" s="1">
        <v>174.1</v>
      </c>
      <c r="J335" s="1">
        <v>5.1</v>
      </c>
      <c r="K335" s="1">
        <v>2.5</v>
      </c>
      <c r="L335" s="1">
        <v>71.3</v>
      </c>
      <c r="M335" s="1">
        <v>444.5</v>
      </c>
      <c r="N335" s="1">
        <v>6.2</v>
      </c>
      <c r="O335" s="1">
        <v>11.5</v>
      </c>
      <c r="P335" s="1">
        <v>9.4</v>
      </c>
      <c r="Q335" s="1">
        <v>2.2</v>
      </c>
      <c r="R335" s="1">
        <v>23.1</v>
      </c>
      <c r="S335" s="1">
        <v>5.3</v>
      </c>
      <c r="T335" s="1">
        <v>48.0</v>
      </c>
      <c r="U335" s="1">
        <v>0.2</v>
      </c>
      <c r="V335" s="1">
        <v>0.5</v>
      </c>
      <c r="W335" s="1">
        <v>0.6</v>
      </c>
      <c r="X335" s="1">
        <f t="array" ref="X335:AR335">XLOOKUP(MID(A335, SEARCH("+++", A335) + 3, LEN(A335)),'Defensive Data'!$A$2:$A$134,'Defensive Data'!$D$2:$X$134)</f>
        <v>19.3</v>
      </c>
      <c r="Y335" s="1">
        <v>28.6</v>
      </c>
      <c r="Z335" s="1">
        <v>67.3</v>
      </c>
      <c r="AA335" s="1">
        <v>252.2</v>
      </c>
      <c r="AB335" s="1">
        <v>2.3</v>
      </c>
      <c r="AC335" s="1">
        <v>38.8</v>
      </c>
      <c r="AD335" s="1">
        <v>197.0</v>
      </c>
      <c r="AE335" s="1">
        <v>5.1</v>
      </c>
      <c r="AF335" s="1">
        <v>2.2</v>
      </c>
      <c r="AG335" s="1">
        <v>67.3</v>
      </c>
      <c r="AH335" s="1">
        <v>449.2</v>
      </c>
      <c r="AI335" s="1">
        <v>6.7</v>
      </c>
      <c r="AJ335" s="1">
        <v>11.6</v>
      </c>
      <c r="AK335" s="1">
        <v>10.3</v>
      </c>
      <c r="AL335" s="1">
        <v>1.5</v>
      </c>
      <c r="AM335" s="1">
        <v>23.4</v>
      </c>
      <c r="AN335" s="1">
        <v>5.5</v>
      </c>
      <c r="AO335" s="1">
        <v>50.9</v>
      </c>
      <c r="AP335" s="1">
        <v>0.4</v>
      </c>
      <c r="AQ335" s="1">
        <v>0.4</v>
      </c>
      <c r="AR335" s="1">
        <v>0.8</v>
      </c>
    </row>
    <row r="336" ht="15.75" customHeight="1">
      <c r="A336" s="1" t="str">
        <f>CONCATENATE(Scores!A336,"+++",Scores!C336)</f>
        <v>Miami (OH)+++Massachusetts</v>
      </c>
      <c r="B336" s="1">
        <f>Scores!B336</f>
        <v>23</v>
      </c>
      <c r="C336" s="1">
        <f t="array" ref="C336:W336">XLOOKUP(LEFT(A336,SEARCH("+",A336)-1),'Offensive Data'!$A$2:$A$134,'Offensive Data'!$D$2:$X$134)</f>
        <v>16.1</v>
      </c>
      <c r="D336" s="1">
        <v>28.5</v>
      </c>
      <c r="E336" s="1">
        <v>56.4</v>
      </c>
      <c r="F336" s="1">
        <v>217.4</v>
      </c>
      <c r="G336" s="1">
        <v>1.6</v>
      </c>
      <c r="H336" s="1">
        <v>29.5</v>
      </c>
      <c r="I336" s="1">
        <v>135.3</v>
      </c>
      <c r="J336" s="1">
        <v>4.6</v>
      </c>
      <c r="K336" s="1">
        <v>1.0</v>
      </c>
      <c r="L336" s="1">
        <v>58.0</v>
      </c>
      <c r="M336" s="1">
        <v>352.7</v>
      </c>
      <c r="N336" s="1">
        <v>6.1</v>
      </c>
      <c r="O336" s="1">
        <v>9.7</v>
      </c>
      <c r="P336" s="1">
        <v>5.9</v>
      </c>
      <c r="Q336" s="1">
        <v>1.2</v>
      </c>
      <c r="R336" s="1">
        <v>16.9</v>
      </c>
      <c r="S336" s="1">
        <v>5.3</v>
      </c>
      <c r="T336" s="1">
        <v>41.8</v>
      </c>
      <c r="U336" s="1">
        <v>0.4</v>
      </c>
      <c r="V336" s="1">
        <v>0.9</v>
      </c>
      <c r="W336" s="1">
        <v>1.3</v>
      </c>
      <c r="X336" s="1">
        <f t="array" ref="X336:AR336">XLOOKUP(MID(A336, SEARCH("+++", A336) + 3, LEN(A336)),'Defensive Data'!$A$2:$A$134,'Defensive Data'!$D$2:$X$134)</f>
        <v>13</v>
      </c>
      <c r="Y336" s="1">
        <v>22.4</v>
      </c>
      <c r="Z336" s="1">
        <v>58.0</v>
      </c>
      <c r="AA336" s="1">
        <v>176.6</v>
      </c>
      <c r="AB336" s="1">
        <v>1.6</v>
      </c>
      <c r="AC336" s="1">
        <v>37.8</v>
      </c>
      <c r="AD336" s="1">
        <v>197.9</v>
      </c>
      <c r="AE336" s="1">
        <v>5.2</v>
      </c>
      <c r="AF336" s="1">
        <v>2.7</v>
      </c>
      <c r="AG336" s="1">
        <v>60.3</v>
      </c>
      <c r="AH336" s="1">
        <v>374.5</v>
      </c>
      <c r="AI336" s="1">
        <v>6.2</v>
      </c>
      <c r="AJ336" s="1">
        <v>7.4</v>
      </c>
      <c r="AK336" s="1">
        <v>10.6</v>
      </c>
      <c r="AL336" s="1">
        <v>2.3</v>
      </c>
      <c r="AM336" s="1">
        <v>20.3</v>
      </c>
      <c r="AN336" s="1">
        <v>6.0</v>
      </c>
      <c r="AO336" s="1">
        <v>53.3</v>
      </c>
      <c r="AP336" s="1">
        <v>0.3</v>
      </c>
      <c r="AQ336" s="1">
        <v>0.5</v>
      </c>
      <c r="AR336" s="1">
        <v>0.8</v>
      </c>
    </row>
    <row r="337" ht="15.75" customHeight="1">
      <c r="A337" s="1" t="str">
        <f>CONCATENATE(Scores!A337,"+++",Scores!C337)</f>
        <v> Michigan+++Minnesota</v>
      </c>
      <c r="B337" s="1">
        <f>Scores!B337</f>
        <v>27</v>
      </c>
      <c r="C337" s="1" t="str">
        <f t="array" ref="C337">XLOOKUP(LEFT(A337,SEARCH("+",A337)-1),'Offensive Data'!$A$2:$A$134,'Offensive Data'!$D$2:$X$134)</f>
        <v>#N/A</v>
      </c>
      <c r="X337" s="1">
        <f t="array" ref="X337:AR337">XLOOKUP(MID(A337, SEARCH("+++", A337) + 3, LEN(A337)),'Defensive Data'!$A$2:$A$134,'Defensive Data'!$D$2:$X$134)</f>
        <v>16.9</v>
      </c>
      <c r="Y337" s="1">
        <v>28.7</v>
      </c>
      <c r="Z337" s="1">
        <v>59.0</v>
      </c>
      <c r="AA337" s="1">
        <v>176.1</v>
      </c>
      <c r="AB337" s="1">
        <v>0.8</v>
      </c>
      <c r="AC337" s="1">
        <v>31.3</v>
      </c>
      <c r="AD337" s="1">
        <v>109.6</v>
      </c>
      <c r="AE337" s="1">
        <v>3.5</v>
      </c>
      <c r="AF337" s="1">
        <v>1.1</v>
      </c>
      <c r="AG337" s="1">
        <v>60.0</v>
      </c>
      <c r="AH337" s="1">
        <v>285.7</v>
      </c>
      <c r="AI337" s="1">
        <v>4.8</v>
      </c>
      <c r="AJ337" s="1">
        <v>8.5</v>
      </c>
      <c r="AK337" s="1">
        <v>5.9</v>
      </c>
      <c r="AL337" s="1">
        <v>1.5</v>
      </c>
      <c r="AM337" s="1">
        <v>16.0</v>
      </c>
      <c r="AN337" s="1">
        <v>5.0</v>
      </c>
      <c r="AO337" s="1">
        <v>49.1</v>
      </c>
      <c r="AP337" s="1">
        <v>0.3</v>
      </c>
      <c r="AQ337" s="1">
        <v>1.3</v>
      </c>
      <c r="AR337" s="1">
        <v>1.6</v>
      </c>
    </row>
    <row r="338" ht="15.75" customHeight="1">
      <c r="A338" s="1" t="str">
        <f>CONCATENATE(Scores!A338,"+++",Scores!C338)</f>
        <v>Navy+++Alabama-Birmingham</v>
      </c>
      <c r="B338" s="1">
        <f>Scores!B338</f>
        <v>41</v>
      </c>
      <c r="C338" s="1">
        <f t="array" ref="C338:W338">XLOOKUP(LEFT(A338,SEARCH("+",A338)-1),'Offensive Data'!$A$2:$A$134,'Offensive Data'!$D$2:$X$134)</f>
        <v>7.6</v>
      </c>
      <c r="D338" s="1">
        <v>13.8</v>
      </c>
      <c r="E338" s="1">
        <v>55.3</v>
      </c>
      <c r="F338" s="1">
        <v>123.8</v>
      </c>
      <c r="G338" s="1">
        <v>1.2</v>
      </c>
      <c r="H338" s="1">
        <v>45.5</v>
      </c>
      <c r="I338" s="1">
        <v>247.5</v>
      </c>
      <c r="J338" s="1">
        <v>5.4</v>
      </c>
      <c r="K338" s="1">
        <v>2.9</v>
      </c>
      <c r="L338" s="1">
        <v>59.3</v>
      </c>
      <c r="M338" s="1">
        <v>371.3</v>
      </c>
      <c r="N338" s="1">
        <v>6.3</v>
      </c>
      <c r="O338" s="1">
        <v>4.8</v>
      </c>
      <c r="P338" s="1">
        <v>11.4</v>
      </c>
      <c r="Q338" s="1">
        <v>0.8</v>
      </c>
      <c r="R338" s="1">
        <v>17.0</v>
      </c>
      <c r="S338" s="1">
        <v>5.1</v>
      </c>
      <c r="T338" s="1">
        <v>45.0</v>
      </c>
      <c r="U338" s="1">
        <v>0.6</v>
      </c>
      <c r="V338" s="1">
        <v>0.5</v>
      </c>
      <c r="W338" s="1">
        <v>1.1</v>
      </c>
      <c r="X338" s="1" t="str">
        <f t="array" ref="X338">XLOOKUP(MID(A338, SEARCH("+++", A338) + 3, LEN(A338)),'Defensive Data'!$A$2:$A$134,'Defensive Data'!$D$2:$X$134)</f>
        <v>#N/A</v>
      </c>
    </row>
    <row r="339" ht="15.75" customHeight="1">
      <c r="A339" s="1" t="str">
        <f>CONCATENATE(Scores!A339,"+++",Scores!C339)</f>
        <v>Nebraska+++Purdue</v>
      </c>
      <c r="B339" s="1">
        <f>Scores!B339</f>
        <v>28</v>
      </c>
      <c r="C339" s="1">
        <f t="array" ref="C339:W339">XLOOKUP(LEFT(A339,SEARCH("+",A339)-1),'Offensive Data'!$A$2:$A$134,'Offensive Data'!$D$2:$X$134)</f>
        <v>22.2</v>
      </c>
      <c r="D339" s="1">
        <v>33.5</v>
      </c>
      <c r="E339" s="1">
        <v>66.2</v>
      </c>
      <c r="F339" s="1">
        <v>228.4</v>
      </c>
      <c r="G339" s="1">
        <v>1.0</v>
      </c>
      <c r="H339" s="1">
        <v>34.5</v>
      </c>
      <c r="I339" s="1">
        <v>130.6</v>
      </c>
      <c r="J339" s="1">
        <v>3.8</v>
      </c>
      <c r="K339" s="1">
        <v>1.7</v>
      </c>
      <c r="L339" s="1">
        <v>67.9</v>
      </c>
      <c r="M339" s="1">
        <v>359.0</v>
      </c>
      <c r="N339" s="1">
        <v>5.3</v>
      </c>
      <c r="O339" s="1">
        <v>10.5</v>
      </c>
      <c r="P339" s="1">
        <v>8.4</v>
      </c>
      <c r="Q339" s="1">
        <v>2.8</v>
      </c>
      <c r="R339" s="1">
        <v>21.8</v>
      </c>
      <c r="S339" s="1">
        <v>6.2</v>
      </c>
      <c r="T339" s="1">
        <v>53.2</v>
      </c>
      <c r="U339" s="1">
        <v>0.5</v>
      </c>
      <c r="V339" s="1">
        <v>0.9</v>
      </c>
      <c r="W339" s="1">
        <v>1.5</v>
      </c>
      <c r="X339" s="1">
        <f t="array" ref="X339:AR339">XLOOKUP(MID(A339, SEARCH("+++", A339) + 3, LEN(A339)),'Defensive Data'!$A$2:$A$134,'Defensive Data'!$D$2:$X$134)</f>
        <v>18.2</v>
      </c>
      <c r="Y339" s="1">
        <v>27.6</v>
      </c>
      <c r="Z339" s="1">
        <v>65.9</v>
      </c>
      <c r="AA339" s="1">
        <v>252.7</v>
      </c>
      <c r="AB339" s="1">
        <v>2.3</v>
      </c>
      <c r="AC339" s="1">
        <v>39.3</v>
      </c>
      <c r="AD339" s="1">
        <v>200.0</v>
      </c>
      <c r="AE339" s="1">
        <v>5.1</v>
      </c>
      <c r="AF339" s="1">
        <v>2.8</v>
      </c>
      <c r="AG339" s="1">
        <v>66.9</v>
      </c>
      <c r="AH339" s="1">
        <v>452.7</v>
      </c>
      <c r="AI339" s="1">
        <v>6.8</v>
      </c>
      <c r="AJ339" s="1">
        <v>11.3</v>
      </c>
      <c r="AK339" s="1">
        <v>11.0</v>
      </c>
      <c r="AL339" s="1">
        <v>1.7</v>
      </c>
      <c r="AM339" s="1">
        <v>24.0</v>
      </c>
      <c r="AN339" s="1">
        <v>5.2</v>
      </c>
      <c r="AO339" s="1">
        <v>47.7</v>
      </c>
      <c r="AP339" s="1">
        <v>0.1</v>
      </c>
      <c r="AQ339" s="1">
        <v>0.3</v>
      </c>
      <c r="AR339" s="1">
        <v>0.4</v>
      </c>
    </row>
    <row r="340" ht="15.75" customHeight="1">
      <c r="A340" s="1" t="str">
        <f>CONCATENATE(Scores!A340,"+++",Scores!C340)</f>
        <v>Nevada-Las Vegas+++Fresno State</v>
      </c>
      <c r="B340" s="1">
        <f>Scores!B340</f>
        <v>59</v>
      </c>
      <c r="C340" s="1" t="str">
        <f t="array" ref="C340">XLOOKUP(LEFT(A340,SEARCH("+",A340)-1),'Offensive Data'!$A$2:$A$134,'Offensive Data'!$D$2:$X$134)</f>
        <v>#N/A</v>
      </c>
      <c r="X340" s="1">
        <f t="array" ref="X340:AR340">XLOOKUP(MID(A340, SEARCH("+++", A340) + 3, LEN(A340)),'Defensive Data'!$A$2:$A$134,'Defensive Data'!$D$2:$X$134)</f>
        <v>19.7</v>
      </c>
      <c r="Y340" s="1">
        <v>36.1</v>
      </c>
      <c r="Z340" s="1">
        <v>54.6</v>
      </c>
      <c r="AA340" s="1">
        <v>216.2</v>
      </c>
      <c r="AB340" s="1">
        <v>1.6</v>
      </c>
      <c r="AC340" s="1">
        <v>36.5</v>
      </c>
      <c r="AD340" s="1">
        <v>139.4</v>
      </c>
      <c r="AE340" s="1">
        <v>3.8</v>
      </c>
      <c r="AF340" s="1">
        <v>1.1</v>
      </c>
      <c r="AG340" s="1">
        <v>72.5</v>
      </c>
      <c r="AH340" s="1">
        <v>355.6</v>
      </c>
      <c r="AI340" s="1">
        <v>4.9</v>
      </c>
      <c r="AJ340" s="1">
        <v>9.9</v>
      </c>
      <c r="AK340" s="1">
        <v>8.5</v>
      </c>
      <c r="AL340" s="1">
        <v>2.4</v>
      </c>
      <c r="AM340" s="1">
        <v>20.8</v>
      </c>
      <c r="AN340" s="1">
        <v>6.9</v>
      </c>
      <c r="AO340" s="1">
        <v>63.1</v>
      </c>
      <c r="AP340" s="1">
        <v>0.4</v>
      </c>
      <c r="AQ340" s="1">
        <v>1.2</v>
      </c>
      <c r="AR340" s="1">
        <v>1.5</v>
      </c>
    </row>
    <row r="341" ht="15.75" customHeight="1">
      <c r="A341" s="1" t="str">
        <f>CONCATENATE(Scores!A341,"+++",Scores!C341)</f>
        <v>New Mexico+++New Mexico State</v>
      </c>
      <c r="B341" s="1">
        <f>Scores!B341</f>
        <v>50</v>
      </c>
      <c r="C341" s="1">
        <f t="array" ref="C341:W341">XLOOKUP(LEFT(A341,SEARCH("+",A341)-1),'Offensive Data'!$A$2:$A$134,'Offensive Data'!$D$2:$X$134)</f>
        <v>18.8</v>
      </c>
      <c r="D341" s="1">
        <v>32.5</v>
      </c>
      <c r="E341" s="1">
        <v>57.9</v>
      </c>
      <c r="F341" s="1">
        <v>230.7</v>
      </c>
      <c r="G341" s="1">
        <v>1.0</v>
      </c>
      <c r="H341" s="1">
        <v>38.0</v>
      </c>
      <c r="I341" s="1">
        <v>253.6</v>
      </c>
      <c r="J341" s="1">
        <v>6.7</v>
      </c>
      <c r="K341" s="1">
        <v>3.1</v>
      </c>
      <c r="L341" s="1">
        <v>70.5</v>
      </c>
      <c r="M341" s="1">
        <v>484.3</v>
      </c>
      <c r="N341" s="1">
        <v>6.9</v>
      </c>
      <c r="O341" s="1">
        <v>10.4</v>
      </c>
      <c r="P341" s="1">
        <v>12.4</v>
      </c>
      <c r="Q341" s="1">
        <v>2.0</v>
      </c>
      <c r="R341" s="1">
        <v>24.8</v>
      </c>
      <c r="S341" s="1">
        <v>9.3</v>
      </c>
      <c r="T341" s="1">
        <v>81.5</v>
      </c>
      <c r="U341" s="1">
        <v>0.6</v>
      </c>
      <c r="V341" s="1">
        <v>1.0</v>
      </c>
      <c r="W341" s="1">
        <v>1.6</v>
      </c>
      <c r="X341" s="1">
        <f t="array" ref="X341:AR341">XLOOKUP(MID(A341, SEARCH("+++", A341) + 3, LEN(A341)),'Defensive Data'!$A$2:$A$134,'Defensive Data'!$D$2:$X$134)</f>
        <v>18.3</v>
      </c>
      <c r="Y341" s="1">
        <v>31.8</v>
      </c>
      <c r="Z341" s="1">
        <v>57.7</v>
      </c>
      <c r="AA341" s="1">
        <v>251.6</v>
      </c>
      <c r="AB341" s="1">
        <v>1.8</v>
      </c>
      <c r="AC341" s="1">
        <v>38.3</v>
      </c>
      <c r="AD341" s="1">
        <v>195.3</v>
      </c>
      <c r="AE341" s="1">
        <v>5.1</v>
      </c>
      <c r="AF341" s="1">
        <v>2.4</v>
      </c>
      <c r="AG341" s="1">
        <v>70.0</v>
      </c>
      <c r="AH341" s="1">
        <v>446.8</v>
      </c>
      <c r="AI341" s="1">
        <v>6.4</v>
      </c>
      <c r="AJ341" s="1">
        <v>10.3</v>
      </c>
      <c r="AK341" s="1">
        <v>9.3</v>
      </c>
      <c r="AL341" s="1">
        <v>1.6</v>
      </c>
      <c r="AM341" s="1">
        <v>21.3</v>
      </c>
      <c r="AN341" s="1">
        <v>7.0</v>
      </c>
      <c r="AO341" s="1">
        <v>75.6</v>
      </c>
      <c r="AP341" s="1">
        <v>0.1</v>
      </c>
      <c r="AQ341" s="1">
        <v>0.8</v>
      </c>
      <c r="AR341" s="1">
        <v>0.8</v>
      </c>
    </row>
    <row r="342" ht="15.75" customHeight="1">
      <c r="A342" s="1" t="str">
        <f>CONCATENATE(Scores!A342,"+++",Scores!C342)</f>
        <v>North Carolina State+++Northern Illinois</v>
      </c>
      <c r="B342" s="1">
        <f>Scores!B342</f>
        <v>24</v>
      </c>
      <c r="C342" s="1">
        <f t="array" ref="C342:W342">XLOOKUP(LEFT(A342,SEARCH("+",A342)-1),'Offensive Data'!$A$2:$A$134,'Offensive Data'!$D$2:$X$134)</f>
        <v>19.6</v>
      </c>
      <c r="D342" s="1">
        <v>30.1</v>
      </c>
      <c r="E342" s="1">
        <v>65.2</v>
      </c>
      <c r="F342" s="1">
        <v>232.6</v>
      </c>
      <c r="G342" s="1">
        <v>1.6</v>
      </c>
      <c r="H342" s="1">
        <v>32.4</v>
      </c>
      <c r="I342" s="1">
        <v>145.2</v>
      </c>
      <c r="J342" s="1">
        <v>4.5</v>
      </c>
      <c r="K342" s="1">
        <v>1.6</v>
      </c>
      <c r="L342" s="1">
        <v>62.5</v>
      </c>
      <c r="M342" s="1">
        <v>377.8</v>
      </c>
      <c r="N342" s="1">
        <v>6.0</v>
      </c>
      <c r="O342" s="1">
        <v>10.5</v>
      </c>
      <c r="P342" s="1">
        <v>7.3</v>
      </c>
      <c r="Q342" s="1">
        <v>2.3</v>
      </c>
      <c r="R342" s="1">
        <v>20.2</v>
      </c>
      <c r="S342" s="1">
        <v>5.1</v>
      </c>
      <c r="T342" s="1">
        <v>47.8</v>
      </c>
      <c r="U342" s="1">
        <v>0.8</v>
      </c>
      <c r="V342" s="1">
        <v>1.0</v>
      </c>
      <c r="W342" s="1">
        <v>1.8</v>
      </c>
      <c r="X342" s="1">
        <f t="array" ref="X342:AR342">XLOOKUP(MID(A342, SEARCH("+++", A342) + 3, LEN(A342)),'Defensive Data'!$A$2:$A$134,'Defensive Data'!$D$2:$X$134)</f>
        <v>15.4</v>
      </c>
      <c r="Y342" s="1">
        <v>28.6</v>
      </c>
      <c r="Z342" s="1">
        <v>53.8</v>
      </c>
      <c r="AA342" s="1">
        <v>172.5</v>
      </c>
      <c r="AB342" s="1">
        <v>1.2</v>
      </c>
      <c r="AC342" s="1">
        <v>31.7</v>
      </c>
      <c r="AD342" s="1">
        <v>112.2</v>
      </c>
      <c r="AE342" s="1">
        <v>3.5</v>
      </c>
      <c r="AF342" s="1">
        <v>0.8</v>
      </c>
      <c r="AG342" s="1">
        <v>60.3</v>
      </c>
      <c r="AH342" s="1">
        <v>284.6</v>
      </c>
      <c r="AI342" s="1">
        <v>4.7</v>
      </c>
      <c r="AJ342" s="1">
        <v>7.6</v>
      </c>
      <c r="AK342" s="1">
        <v>6.8</v>
      </c>
      <c r="AL342" s="1">
        <v>1.9</v>
      </c>
      <c r="AM342" s="1">
        <v>16.4</v>
      </c>
      <c r="AN342" s="1">
        <v>5.2</v>
      </c>
      <c r="AO342" s="1">
        <v>45.5</v>
      </c>
      <c r="AP342" s="1">
        <v>0.4</v>
      </c>
      <c r="AQ342" s="1">
        <v>0.7</v>
      </c>
      <c r="AR342" s="1">
        <v>1.1</v>
      </c>
    </row>
    <row r="343" ht="15.75" customHeight="1">
      <c r="A343" s="1" t="str">
        <f>CONCATENATE(Scores!A343,"+++",Scores!C343)</f>
        <v>North Texas+++Tulsa</v>
      </c>
      <c r="B343" s="1">
        <f>Scores!B343</f>
        <v>52</v>
      </c>
      <c r="C343" s="1">
        <f t="array" ref="C343:W343">XLOOKUP(LEFT(A343,SEARCH("+",A343)-1),'Offensive Data'!$A$2:$A$134,'Offensive Data'!$D$2:$X$134)</f>
        <v>27.2</v>
      </c>
      <c r="D343" s="1">
        <v>43.2</v>
      </c>
      <c r="E343" s="1">
        <v>62.8</v>
      </c>
      <c r="F343" s="1">
        <v>328.2</v>
      </c>
      <c r="G343" s="1">
        <v>2.5</v>
      </c>
      <c r="H343" s="1">
        <v>29.5</v>
      </c>
      <c r="I343" s="1">
        <v>160.6</v>
      </c>
      <c r="J343" s="1">
        <v>5.4</v>
      </c>
      <c r="K343" s="1">
        <v>1.8</v>
      </c>
      <c r="L343" s="1">
        <v>72.8</v>
      </c>
      <c r="M343" s="1">
        <v>488.8</v>
      </c>
      <c r="N343" s="1">
        <v>6.7</v>
      </c>
      <c r="O343" s="1">
        <v>14.5</v>
      </c>
      <c r="P343" s="1">
        <v>6.7</v>
      </c>
      <c r="Q343" s="1">
        <v>2.6</v>
      </c>
      <c r="R343" s="1">
        <v>23.8</v>
      </c>
      <c r="S343" s="1">
        <v>7.0</v>
      </c>
      <c r="T343" s="1">
        <v>59.5</v>
      </c>
      <c r="U343" s="1">
        <v>0.6</v>
      </c>
      <c r="V343" s="1">
        <v>1.1</v>
      </c>
      <c r="W343" s="1">
        <v>1.7</v>
      </c>
      <c r="X343" s="1">
        <f t="array" ref="X343:AR343">XLOOKUP(MID(A343, SEARCH("+++", A343) + 3, LEN(A343)),'Defensive Data'!$A$2:$A$134,'Defensive Data'!$D$2:$X$134)</f>
        <v>21.8</v>
      </c>
      <c r="Y343" s="1">
        <v>33.0</v>
      </c>
      <c r="Z343" s="1">
        <v>65.9</v>
      </c>
      <c r="AA343" s="1">
        <v>316.0</v>
      </c>
      <c r="AB343" s="1">
        <v>3.2</v>
      </c>
      <c r="AC343" s="1">
        <v>37.3</v>
      </c>
      <c r="AD343" s="1">
        <v>180.8</v>
      </c>
      <c r="AE343" s="1">
        <v>4.9</v>
      </c>
      <c r="AF343" s="1">
        <v>2.3</v>
      </c>
      <c r="AG343" s="1">
        <v>70.3</v>
      </c>
      <c r="AH343" s="1">
        <v>496.8</v>
      </c>
      <c r="AI343" s="1">
        <v>7.1</v>
      </c>
      <c r="AJ343" s="1">
        <v>12.8</v>
      </c>
      <c r="AK343" s="1">
        <v>8.3</v>
      </c>
      <c r="AL343" s="1">
        <v>1.1</v>
      </c>
      <c r="AM343" s="1">
        <v>22.2</v>
      </c>
      <c r="AN343" s="1">
        <v>8.1</v>
      </c>
      <c r="AO343" s="1">
        <v>80.3</v>
      </c>
      <c r="AP343" s="1">
        <v>0.6</v>
      </c>
      <c r="AQ343" s="1">
        <v>0.8</v>
      </c>
      <c r="AR343" s="1">
        <v>1.3</v>
      </c>
    </row>
    <row r="344" ht="15.75" customHeight="1">
      <c r="A344" s="1" t="str">
        <f>CONCATENATE(Scores!A344,"+++",Scores!C344)</f>
        <v> Notre Dame+++ Louisville</v>
      </c>
      <c r="B344" s="1">
        <f>Scores!B344</f>
        <v>31</v>
      </c>
      <c r="C344" s="1" t="str">
        <f t="array" ref="C344">XLOOKUP(LEFT(A344,SEARCH("+",A344)-1),'Offensive Data'!$A$2:$A$134,'Offensive Data'!$D$2:$X$134)</f>
        <v>#N/A</v>
      </c>
      <c r="X344" s="1" t="str">
        <f t="array" ref="X344">XLOOKUP(MID(A344, SEARCH("+++", A344) + 3, LEN(A344)),'Defensive Data'!$A$2:$A$134,'Defensive Data'!$D$2:$X$134)</f>
        <v>#N/A</v>
      </c>
    </row>
    <row r="345" ht="15.75" customHeight="1">
      <c r="A345" s="1" t="str">
        <f>CONCATENATE(Scores!A345,"+++",Scores!C345)</f>
        <v>Ohio+++Akron</v>
      </c>
      <c r="B345" s="1">
        <f>Scores!B345</f>
        <v>30</v>
      </c>
      <c r="C345" s="1">
        <f t="array" ref="C345:W345">XLOOKUP(LEFT(A345,SEARCH("+",A345)-1),'Offensive Data'!$A$2:$A$134,'Offensive Data'!$D$2:$X$134)</f>
        <v>15.5</v>
      </c>
      <c r="D345" s="1">
        <v>24.6</v>
      </c>
      <c r="E345" s="1">
        <v>62.9</v>
      </c>
      <c r="F345" s="1">
        <v>192.4</v>
      </c>
      <c r="G345" s="1">
        <v>1.1</v>
      </c>
      <c r="H345" s="1">
        <v>41.0</v>
      </c>
      <c r="I345" s="1">
        <v>213.1</v>
      </c>
      <c r="J345" s="1">
        <v>5.2</v>
      </c>
      <c r="K345" s="1">
        <v>2.5</v>
      </c>
      <c r="L345" s="1">
        <v>65.6</v>
      </c>
      <c r="M345" s="1">
        <v>405.6</v>
      </c>
      <c r="N345" s="1">
        <v>6.2</v>
      </c>
      <c r="O345" s="1">
        <v>8.7</v>
      </c>
      <c r="P345" s="1">
        <v>11.1</v>
      </c>
      <c r="Q345" s="1">
        <v>2.1</v>
      </c>
      <c r="R345" s="1">
        <v>22.0</v>
      </c>
      <c r="S345" s="1">
        <v>5.6</v>
      </c>
      <c r="T345" s="1">
        <v>45.5</v>
      </c>
      <c r="U345" s="1">
        <v>0.7</v>
      </c>
      <c r="V345" s="1">
        <v>0.9</v>
      </c>
      <c r="W345" s="1">
        <v>1.6</v>
      </c>
      <c r="X345" s="1">
        <f t="array" ref="X345:AR345">XLOOKUP(MID(A345, SEARCH("+++", A345) + 3, LEN(A345)),'Defensive Data'!$A$2:$A$134,'Defensive Data'!$D$2:$X$134)</f>
        <v>18.4</v>
      </c>
      <c r="Y345" s="1">
        <v>28.6</v>
      </c>
      <c r="Z345" s="1">
        <v>64.4</v>
      </c>
      <c r="AA345" s="1">
        <v>231.1</v>
      </c>
      <c r="AB345" s="1">
        <v>2.0</v>
      </c>
      <c r="AC345" s="1">
        <v>39.7</v>
      </c>
      <c r="AD345" s="1">
        <v>183.3</v>
      </c>
      <c r="AE345" s="1">
        <v>4.6</v>
      </c>
      <c r="AF345" s="1">
        <v>1.9</v>
      </c>
      <c r="AG345" s="1">
        <v>68.3</v>
      </c>
      <c r="AH345" s="1">
        <v>414.4</v>
      </c>
      <c r="AI345" s="1">
        <v>6.1</v>
      </c>
      <c r="AJ345" s="1">
        <v>10.2</v>
      </c>
      <c r="AK345" s="1">
        <v>8.7</v>
      </c>
      <c r="AL345" s="1">
        <v>1.6</v>
      </c>
      <c r="AM345" s="1">
        <v>20.4</v>
      </c>
      <c r="AN345" s="1">
        <v>6.7</v>
      </c>
      <c r="AO345" s="1">
        <v>53.4</v>
      </c>
      <c r="AP345" s="1">
        <v>0.6</v>
      </c>
      <c r="AQ345" s="1">
        <v>0.3</v>
      </c>
      <c r="AR345" s="1">
        <v>0.8</v>
      </c>
    </row>
    <row r="346" ht="15.75" customHeight="1">
      <c r="A346" s="1" t="str">
        <f>CONCATENATE(Scores!A346,"+++",Scores!C346)</f>
        <v> Ohio State+++Michigan State</v>
      </c>
      <c r="B346" s="1">
        <f>Scores!B346</f>
        <v>38</v>
      </c>
      <c r="C346" s="1" t="str">
        <f t="array" ref="C346">XLOOKUP(LEFT(A346,SEARCH("+",A346)-1),'Offensive Data'!$A$2:$A$134,'Offensive Data'!$D$2:$X$134)</f>
        <v>#N/A</v>
      </c>
      <c r="X346" s="1">
        <f t="array" ref="X346:AR346">XLOOKUP(MID(A346, SEARCH("+++", A346) + 3, LEN(A346)),'Defensive Data'!$A$2:$A$134,'Defensive Data'!$D$2:$X$134)</f>
        <v>17.2</v>
      </c>
      <c r="Y346" s="1">
        <v>28.3</v>
      </c>
      <c r="Z346" s="1">
        <v>60.8</v>
      </c>
      <c r="AA346" s="1">
        <v>206.9</v>
      </c>
      <c r="AB346" s="1">
        <v>1.7</v>
      </c>
      <c r="AC346" s="1">
        <v>33.7</v>
      </c>
      <c r="AD346" s="1">
        <v>125.1</v>
      </c>
      <c r="AE346" s="1">
        <v>3.7</v>
      </c>
      <c r="AF346" s="1">
        <v>1.6</v>
      </c>
      <c r="AG346" s="1">
        <v>61.9</v>
      </c>
      <c r="AH346" s="1">
        <v>332.0</v>
      </c>
      <c r="AI346" s="1">
        <v>5.4</v>
      </c>
      <c r="AJ346" s="1">
        <v>10.1</v>
      </c>
      <c r="AK346" s="1">
        <v>6.4</v>
      </c>
      <c r="AL346" s="1">
        <v>2.2</v>
      </c>
      <c r="AM346" s="1">
        <v>18.7</v>
      </c>
      <c r="AN346" s="1">
        <v>4.2</v>
      </c>
      <c r="AO346" s="1">
        <v>33.9</v>
      </c>
      <c r="AP346" s="1">
        <v>0.2</v>
      </c>
      <c r="AQ346" s="1">
        <v>0.8</v>
      </c>
      <c r="AR346" s="1">
        <v>0.9</v>
      </c>
    </row>
    <row r="347" ht="15.75" customHeight="1">
      <c r="A347" s="1" t="str">
        <f>CONCATENATE(Scores!A347,"+++",Scores!C347)</f>
        <v> Oklahoma+++Auburn</v>
      </c>
      <c r="B347" s="1">
        <f>Scores!B347</f>
        <v>27</v>
      </c>
      <c r="C347" s="1" t="str">
        <f t="array" ref="C347">XLOOKUP(LEFT(A347,SEARCH("+",A347)-1),'Offensive Data'!$A$2:$A$134,'Offensive Data'!$D$2:$X$134)</f>
        <v>#N/A</v>
      </c>
      <c r="X347" s="1">
        <f t="array" ref="X347:AR347">XLOOKUP(MID(A347, SEARCH("+++", A347) + 3, LEN(A347)),'Defensive Data'!$A$2:$A$134,'Defensive Data'!$D$2:$X$134)</f>
        <v>16.6</v>
      </c>
      <c r="Y347" s="1">
        <v>29.5</v>
      </c>
      <c r="Z347" s="1">
        <v>56.2</v>
      </c>
      <c r="AA347" s="1">
        <v>213.0</v>
      </c>
      <c r="AB347" s="1">
        <v>1.0</v>
      </c>
      <c r="AC347" s="1">
        <v>38.3</v>
      </c>
      <c r="AD347" s="1">
        <v>117.8</v>
      </c>
      <c r="AE347" s="1">
        <v>3.1</v>
      </c>
      <c r="AF347" s="1">
        <v>1.5</v>
      </c>
      <c r="AG347" s="1">
        <v>67.8</v>
      </c>
      <c r="AH347" s="1">
        <v>330.8</v>
      </c>
      <c r="AI347" s="1">
        <v>4.9</v>
      </c>
      <c r="AJ347" s="1">
        <v>8.4</v>
      </c>
      <c r="AK347" s="1">
        <v>7.5</v>
      </c>
      <c r="AL347" s="1">
        <v>1.8</v>
      </c>
      <c r="AM347" s="1">
        <v>17.8</v>
      </c>
      <c r="AN347" s="1">
        <v>6.5</v>
      </c>
      <c r="AO347" s="1">
        <v>53.5</v>
      </c>
      <c r="AP347" s="1">
        <v>0.4</v>
      </c>
      <c r="AQ347" s="1">
        <v>0.7</v>
      </c>
      <c r="AR347" s="1">
        <v>1.1</v>
      </c>
    </row>
    <row r="348" ht="15.75" customHeight="1">
      <c r="A348" s="1" t="str">
        <f>CONCATENATE(Scores!A348,"+++",Scores!C348)</f>
        <v>Old Dominion+++Bowling Green</v>
      </c>
      <c r="B348" s="1">
        <f>Scores!B348</f>
        <v>30</v>
      </c>
      <c r="C348" s="1">
        <f t="array" ref="C348:W348">XLOOKUP(LEFT(A348,SEARCH("+",A348)-1),'Offensive Data'!$A$2:$A$134,'Offensive Data'!$D$2:$X$134)</f>
        <v>16.3</v>
      </c>
      <c r="D348" s="1">
        <v>27.8</v>
      </c>
      <c r="E348" s="1">
        <v>58.6</v>
      </c>
      <c r="F348" s="1">
        <v>192.9</v>
      </c>
      <c r="G348" s="1">
        <v>1.4</v>
      </c>
      <c r="H348" s="1">
        <v>40.1</v>
      </c>
      <c r="I348" s="1">
        <v>209.8</v>
      </c>
      <c r="J348" s="1">
        <v>5.2</v>
      </c>
      <c r="K348" s="1">
        <v>2.3</v>
      </c>
      <c r="L348" s="1">
        <v>67.8</v>
      </c>
      <c r="M348" s="1">
        <v>402.7</v>
      </c>
      <c r="N348" s="1">
        <v>5.9</v>
      </c>
      <c r="O348" s="1">
        <v>8.8</v>
      </c>
      <c r="P348" s="1">
        <v>9.7</v>
      </c>
      <c r="Q348" s="1">
        <v>1.2</v>
      </c>
      <c r="R348" s="1">
        <v>19.7</v>
      </c>
      <c r="S348" s="1">
        <v>6.2</v>
      </c>
      <c r="T348" s="1">
        <v>54.2</v>
      </c>
      <c r="U348" s="1">
        <v>0.9</v>
      </c>
      <c r="V348" s="1">
        <v>0.8</v>
      </c>
      <c r="W348" s="1">
        <v>1.7</v>
      </c>
      <c r="X348" s="1" t="str">
        <f t="array" ref="X348">XLOOKUP(MID(A348, SEARCH("+++", A348) + 3, LEN(A348)),'Defensive Data'!$A$2:$A$134,'Defensive Data'!$D$2:$X$134)</f>
        <v>#N/A</v>
      </c>
    </row>
    <row r="349" ht="15.75" customHeight="1">
      <c r="A349" s="1" t="str">
        <f>CONCATENATE(Scores!A349,"+++",Scores!C349)</f>
        <v> Oregon+++UCLA</v>
      </c>
      <c r="B349" s="1">
        <f>Scores!B349</f>
        <v>34</v>
      </c>
      <c r="C349" s="1" t="str">
        <f t="array" ref="C349">XLOOKUP(LEFT(A349,SEARCH("+",A349)-1),'Offensive Data'!$A$2:$A$134,'Offensive Data'!$D$2:$X$134)</f>
        <v>#N/A</v>
      </c>
      <c r="X349" s="1">
        <f t="array" ref="X349:AR349">XLOOKUP(MID(A349, SEARCH("+++", A349) + 3, LEN(A349)),'Defensive Data'!$A$2:$A$134,'Defensive Data'!$D$2:$X$134)</f>
        <v>22.4</v>
      </c>
      <c r="Y349" s="1">
        <v>34.3</v>
      </c>
      <c r="Z349" s="1">
        <v>65.5</v>
      </c>
      <c r="AA349" s="1">
        <v>244.7</v>
      </c>
      <c r="AB349" s="1">
        <v>1.6</v>
      </c>
      <c r="AC349" s="1">
        <v>28.8</v>
      </c>
      <c r="AD349" s="1">
        <v>96.2</v>
      </c>
      <c r="AE349" s="1">
        <v>3.3</v>
      </c>
      <c r="AF349" s="1">
        <v>1.4</v>
      </c>
      <c r="AG349" s="1">
        <v>63.0</v>
      </c>
      <c r="AH349" s="1">
        <v>340.8</v>
      </c>
      <c r="AI349" s="1">
        <v>5.4</v>
      </c>
      <c r="AJ349" s="1">
        <v>11.5</v>
      </c>
      <c r="AK349" s="1">
        <v>5.8</v>
      </c>
      <c r="AL349" s="1">
        <v>2.8</v>
      </c>
      <c r="AM349" s="1">
        <v>20.2</v>
      </c>
      <c r="AN349" s="1">
        <v>4.8</v>
      </c>
      <c r="AO349" s="1">
        <v>41.3</v>
      </c>
      <c r="AP349" s="1">
        <v>0.3</v>
      </c>
      <c r="AQ349" s="1">
        <v>0.8</v>
      </c>
      <c r="AR349" s="1">
        <v>1.1</v>
      </c>
    </row>
    <row r="350" ht="15.75" customHeight="1">
      <c r="A350" s="1" t="str">
        <f>CONCATENATE(Scores!A350,"+++",Scores!C350)</f>
        <v> Penn State+++ Illinois</v>
      </c>
      <c r="B350" s="1">
        <f>Scores!B350</f>
        <v>21</v>
      </c>
      <c r="C350" s="1" t="str">
        <f t="array" ref="C350">XLOOKUP(LEFT(A350,SEARCH("+",A350)-1),'Offensive Data'!$A$2:$A$134,'Offensive Data'!$D$2:$X$134)</f>
        <v>#N/A</v>
      </c>
      <c r="X350" s="1" t="str">
        <f t="array" ref="X350">XLOOKUP(MID(A350, SEARCH("+++", A350) + 3, LEN(A350)),'Defensive Data'!$A$2:$A$134,'Defensive Data'!$D$2:$X$134)</f>
        <v>#N/A</v>
      </c>
    </row>
    <row r="351" ht="15.75" customHeight="1">
      <c r="A351" s="1" t="str">
        <f>CONCATENATE(Scores!A351,"+++",Scores!C351)</f>
        <v>Sam Houston+++Texas State</v>
      </c>
      <c r="B351" s="1">
        <f>Scores!B351</f>
        <v>40</v>
      </c>
      <c r="C351" s="1">
        <f t="array" ref="C351:W351">XLOOKUP(LEFT(A351,SEARCH("+",A351)-1),'Offensive Data'!$A$2:$A$134,'Offensive Data'!$D$2:$X$134)</f>
        <v>16.7</v>
      </c>
      <c r="D351" s="1">
        <v>26.9</v>
      </c>
      <c r="E351" s="1">
        <v>62.0</v>
      </c>
      <c r="F351" s="1">
        <v>168.2</v>
      </c>
      <c r="G351" s="1">
        <v>1.2</v>
      </c>
      <c r="H351" s="1">
        <v>42.8</v>
      </c>
      <c r="I351" s="1">
        <v>179.8</v>
      </c>
      <c r="J351" s="1">
        <v>4.2</v>
      </c>
      <c r="K351" s="1">
        <v>1.6</v>
      </c>
      <c r="L351" s="1">
        <v>69.8</v>
      </c>
      <c r="M351" s="1">
        <v>347.9</v>
      </c>
      <c r="N351" s="1">
        <v>5.0</v>
      </c>
      <c r="O351" s="1">
        <v>8.0</v>
      </c>
      <c r="P351" s="1">
        <v>9.5</v>
      </c>
      <c r="Q351" s="1">
        <v>1.4</v>
      </c>
      <c r="R351" s="1">
        <v>18.8</v>
      </c>
      <c r="S351" s="1">
        <v>4.6</v>
      </c>
      <c r="T351" s="1">
        <v>37.9</v>
      </c>
      <c r="U351" s="1">
        <v>0.5</v>
      </c>
      <c r="V351" s="1">
        <v>0.7</v>
      </c>
      <c r="W351" s="1">
        <v>1.2</v>
      </c>
      <c r="X351" s="1">
        <f t="array" ref="X351:AR351">XLOOKUP(MID(A351, SEARCH("+++", A351) + 3, LEN(A351)),'Defensive Data'!$A$2:$A$134,'Defensive Data'!$D$2:$X$134)</f>
        <v>17.7</v>
      </c>
      <c r="Y351" s="1">
        <v>30.8</v>
      </c>
      <c r="Z351" s="1">
        <v>57.4</v>
      </c>
      <c r="AA351" s="1">
        <v>214.6</v>
      </c>
      <c r="AB351" s="1">
        <v>1.0</v>
      </c>
      <c r="AC351" s="1">
        <v>36.8</v>
      </c>
      <c r="AD351" s="1">
        <v>143.0</v>
      </c>
      <c r="AE351" s="1">
        <v>3.9</v>
      </c>
      <c r="AF351" s="1">
        <v>1.8</v>
      </c>
      <c r="AG351" s="1">
        <v>67.6</v>
      </c>
      <c r="AH351" s="1">
        <v>357.6</v>
      </c>
      <c r="AI351" s="1">
        <v>5.3</v>
      </c>
      <c r="AJ351" s="1">
        <v>9.7</v>
      </c>
      <c r="AK351" s="1">
        <v>7.8</v>
      </c>
      <c r="AL351" s="1">
        <v>2.2</v>
      </c>
      <c r="AM351" s="1">
        <v>19.7</v>
      </c>
      <c r="AN351" s="1">
        <v>6.3</v>
      </c>
      <c r="AO351" s="1">
        <v>48.6</v>
      </c>
      <c r="AP351" s="1">
        <v>0.7</v>
      </c>
      <c r="AQ351" s="1">
        <v>0.7</v>
      </c>
      <c r="AR351" s="1">
        <v>1.4</v>
      </c>
    </row>
    <row r="352" ht="15.75" customHeight="1">
      <c r="A352" s="1" t="str">
        <f>CONCATENATE(Scores!A352,"+++",Scores!C352)</f>
        <v> Southern California+++Wisconsin</v>
      </c>
      <c r="B352" s="1">
        <f>Scores!B352</f>
        <v>38</v>
      </c>
      <c r="C352" s="1" t="str">
        <f t="array" ref="C352">XLOOKUP(LEFT(A352,SEARCH("+",A352)-1),'Offensive Data'!$A$2:$A$134,'Offensive Data'!$D$2:$X$134)</f>
        <v>#N/A</v>
      </c>
      <c r="X352" s="1">
        <f t="array" ref="X352:AR352">XLOOKUP(MID(A352, SEARCH("+++", A352) + 3, LEN(A352)),'Defensive Data'!$A$2:$A$134,'Defensive Data'!$D$2:$X$134)</f>
        <v>16.8</v>
      </c>
      <c r="Y352" s="1">
        <v>26.9</v>
      </c>
      <c r="Z352" s="1">
        <v>62.5</v>
      </c>
      <c r="AA352" s="1">
        <v>177.7</v>
      </c>
      <c r="AB352" s="1">
        <v>1.0</v>
      </c>
      <c r="AC352" s="1">
        <v>35.7</v>
      </c>
      <c r="AD352" s="1">
        <v>165.0</v>
      </c>
      <c r="AE352" s="1">
        <v>4.6</v>
      </c>
      <c r="AF352" s="1">
        <v>1.7</v>
      </c>
      <c r="AG352" s="1">
        <v>62.6</v>
      </c>
      <c r="AH352" s="1">
        <v>342.7</v>
      </c>
      <c r="AI352" s="1">
        <v>5.5</v>
      </c>
      <c r="AJ352" s="1">
        <v>8.3</v>
      </c>
      <c r="AK352" s="1">
        <v>8.8</v>
      </c>
      <c r="AL352" s="1">
        <v>1.1</v>
      </c>
      <c r="AM352" s="1">
        <v>18.3</v>
      </c>
      <c r="AN352" s="1">
        <v>5.7</v>
      </c>
      <c r="AO352" s="1">
        <v>46.6</v>
      </c>
      <c r="AP352" s="1">
        <v>0.7</v>
      </c>
      <c r="AQ352" s="1">
        <v>0.3</v>
      </c>
      <c r="AR352" s="1">
        <v>1.0</v>
      </c>
    </row>
    <row r="353" ht="15.75" customHeight="1">
      <c r="A353" s="1" t="str">
        <f>CONCATENATE(Scores!A353,"+++",Scores!C353)</f>
        <v>Southern Methodist+++Florida State</v>
      </c>
      <c r="B353" s="1">
        <f>Scores!B353</f>
        <v>42</v>
      </c>
      <c r="C353" s="1" t="str">
        <f t="array" ref="C353">XLOOKUP(LEFT(A353,SEARCH("+",A353)-1),'Offensive Data'!$A$2:$A$134,'Offensive Data'!$D$2:$X$134)</f>
        <v>#N/A</v>
      </c>
      <c r="X353" s="1">
        <f t="array" ref="X353:AR353">XLOOKUP(MID(A353, SEARCH("+++", A353) + 3, LEN(A353)),'Defensive Data'!$A$2:$A$134,'Defensive Data'!$D$2:$X$134)</f>
        <v>17</v>
      </c>
      <c r="Y353" s="1">
        <v>27.2</v>
      </c>
      <c r="Z353" s="1">
        <v>62.6</v>
      </c>
      <c r="AA353" s="1">
        <v>201.3</v>
      </c>
      <c r="AB353" s="1">
        <v>1.3</v>
      </c>
      <c r="AC353" s="1">
        <v>39.8</v>
      </c>
      <c r="AD353" s="1">
        <v>184.7</v>
      </c>
      <c r="AE353" s="1">
        <v>4.6</v>
      </c>
      <c r="AF353" s="1">
        <v>1.8</v>
      </c>
      <c r="AG353" s="1">
        <v>66.9</v>
      </c>
      <c r="AH353" s="1">
        <v>385.9</v>
      </c>
      <c r="AI353" s="1">
        <v>5.8</v>
      </c>
      <c r="AJ353" s="1">
        <v>9.2</v>
      </c>
      <c r="AK353" s="1">
        <v>9.7</v>
      </c>
      <c r="AL353" s="1">
        <v>2.1</v>
      </c>
      <c r="AM353" s="1">
        <v>20.9</v>
      </c>
      <c r="AN353" s="1">
        <v>4.8</v>
      </c>
      <c r="AO353" s="1">
        <v>43.8</v>
      </c>
      <c r="AP353" s="1">
        <v>0.2</v>
      </c>
      <c r="AQ353" s="1">
        <v>0.3</v>
      </c>
      <c r="AR353" s="1">
        <v>0.5</v>
      </c>
    </row>
    <row r="354" ht="15.75" customHeight="1">
      <c r="A354" s="1" t="str">
        <f>CONCATENATE(Scores!A354,"+++",Scores!C354)</f>
        <v>Syracuse+++Holy Cross</v>
      </c>
      <c r="B354" s="1">
        <f>Scores!B354</f>
        <v>42</v>
      </c>
      <c r="C354" s="1">
        <f t="array" ref="C354:W354">XLOOKUP(LEFT(A354,SEARCH("+",A354)-1),'Offensive Data'!$A$2:$A$134,'Offensive Data'!$D$2:$X$134)</f>
        <v>30.2</v>
      </c>
      <c r="D354" s="1">
        <v>46.0</v>
      </c>
      <c r="E354" s="1">
        <v>65.7</v>
      </c>
      <c r="F354" s="1">
        <v>370.0</v>
      </c>
      <c r="G354" s="1">
        <v>2.6</v>
      </c>
      <c r="H354" s="1">
        <v>30.9</v>
      </c>
      <c r="I354" s="1">
        <v>97.6</v>
      </c>
      <c r="J354" s="1">
        <v>3.2</v>
      </c>
      <c r="K354" s="1">
        <v>1.7</v>
      </c>
      <c r="L354" s="1">
        <v>76.9</v>
      </c>
      <c r="M354" s="1">
        <v>467.6</v>
      </c>
      <c r="N354" s="1">
        <v>6.1</v>
      </c>
      <c r="O354" s="1">
        <v>17.8</v>
      </c>
      <c r="P354" s="1">
        <v>6.5</v>
      </c>
      <c r="Q354" s="1">
        <v>1.8</v>
      </c>
      <c r="R354" s="1">
        <v>26.0</v>
      </c>
      <c r="S354" s="1">
        <v>7.1</v>
      </c>
      <c r="T354" s="1">
        <v>59.2</v>
      </c>
      <c r="U354" s="1">
        <v>0.2</v>
      </c>
      <c r="V354" s="1">
        <v>0.9</v>
      </c>
      <c r="W354" s="1">
        <v>1.2</v>
      </c>
      <c r="X354" s="1" t="str">
        <f t="array" ref="X354">XLOOKUP(MID(A354, SEARCH("+++", A354) + 3, LEN(A354)),'Defensive Data'!$A$2:$A$134,'Defensive Data'!$D$2:$X$134)</f>
        <v>#N/A</v>
      </c>
    </row>
    <row r="355" ht="15.75" customHeight="1">
      <c r="A355" s="1" t="str">
        <f>CONCATENATE(Scores!A355,"+++",Scores!C355)</f>
        <v>Tennessee-Martin+++Kennesaw State</v>
      </c>
      <c r="B355" s="1">
        <f>Scores!B355</f>
        <v>24</v>
      </c>
      <c r="C355" s="1" t="str">
        <f t="array" ref="C355">XLOOKUP(LEFT(A355,SEARCH("+",A355)-1),'Offensive Data'!$A$2:$A$134,'Offensive Data'!$D$2:$X$134)</f>
        <v>#N/A</v>
      </c>
      <c r="X355" s="1">
        <f t="array" ref="X355:AR355">XLOOKUP(MID(A355, SEARCH("+++", A355) + 3, LEN(A355)),'Defensive Data'!$A$2:$A$134,'Defensive Data'!$D$2:$X$134)</f>
        <v>20.3</v>
      </c>
      <c r="Y355" s="1">
        <v>30.1</v>
      </c>
      <c r="Z355" s="1">
        <v>67.3</v>
      </c>
      <c r="AA355" s="1">
        <v>236.8</v>
      </c>
      <c r="AB355" s="1">
        <v>1.8</v>
      </c>
      <c r="AC355" s="1">
        <v>38.2</v>
      </c>
      <c r="AD355" s="1">
        <v>175.9</v>
      </c>
      <c r="AE355" s="1">
        <v>4.6</v>
      </c>
      <c r="AF355" s="1">
        <v>2.1</v>
      </c>
      <c r="AG355" s="1">
        <v>68.3</v>
      </c>
      <c r="AH355" s="1">
        <v>412.7</v>
      </c>
      <c r="AI355" s="1">
        <v>6.0</v>
      </c>
      <c r="AJ355" s="1">
        <v>9.8</v>
      </c>
      <c r="AK355" s="1">
        <v>9.9</v>
      </c>
      <c r="AL355" s="1">
        <v>1.4</v>
      </c>
      <c r="AM355" s="1">
        <v>21.1</v>
      </c>
      <c r="AN355" s="1">
        <v>5.3</v>
      </c>
      <c r="AO355" s="1">
        <v>50.5</v>
      </c>
      <c r="AP355" s="1">
        <v>0.7</v>
      </c>
      <c r="AQ355" s="1">
        <v>0.3</v>
      </c>
      <c r="AR355" s="1">
        <v>1.0</v>
      </c>
    </row>
    <row r="356" ht="15.75" customHeight="1">
      <c r="A356" s="1" t="str">
        <f>CONCATENATE(Scores!A356,"+++",Scores!C356)</f>
        <v>Texas+++Mississippi State</v>
      </c>
      <c r="B356" s="1">
        <f>Scores!B356</f>
        <v>35</v>
      </c>
      <c r="C356" s="1">
        <f t="array" ref="C356:W356">XLOOKUP(LEFT(A356,SEARCH("+",A356)-1),'Offensive Data'!$A$2:$A$134,'Offensive Data'!$D$2:$X$134)</f>
        <v>22.3</v>
      </c>
      <c r="D356" s="1">
        <v>33.8</v>
      </c>
      <c r="E356" s="1">
        <v>66.0</v>
      </c>
      <c r="F356" s="1">
        <v>278.8</v>
      </c>
      <c r="G356" s="1">
        <v>2.5</v>
      </c>
      <c r="H356" s="1">
        <v>36.6</v>
      </c>
      <c r="I356" s="1">
        <v>158.8</v>
      </c>
      <c r="J356" s="1">
        <v>4.3</v>
      </c>
      <c r="K356" s="1">
        <v>1.6</v>
      </c>
      <c r="L356" s="1">
        <v>70.4</v>
      </c>
      <c r="M356" s="1">
        <v>437.5</v>
      </c>
      <c r="N356" s="1">
        <v>6.2</v>
      </c>
      <c r="O356" s="1">
        <v>11.8</v>
      </c>
      <c r="P356" s="1">
        <v>8.6</v>
      </c>
      <c r="Q356" s="1">
        <v>1.8</v>
      </c>
      <c r="R356" s="1">
        <v>22.1</v>
      </c>
      <c r="S356" s="1">
        <v>6.4</v>
      </c>
      <c r="T356" s="1">
        <v>51.8</v>
      </c>
      <c r="U356" s="1">
        <v>0.8</v>
      </c>
      <c r="V356" s="1">
        <v>0.9</v>
      </c>
      <c r="W356" s="1">
        <v>1.6</v>
      </c>
      <c r="X356" s="1">
        <f t="array" ref="X356:AR356">XLOOKUP(MID(A356, SEARCH("+++", A356) + 3, LEN(A356)),'Defensive Data'!$A$2:$A$134,'Defensive Data'!$D$2:$X$134)</f>
        <v>20</v>
      </c>
      <c r="Y356" s="1">
        <v>28.4</v>
      </c>
      <c r="Z356" s="1">
        <v>70.4</v>
      </c>
      <c r="AA356" s="1">
        <v>239.5</v>
      </c>
      <c r="AB356" s="1">
        <v>1.9</v>
      </c>
      <c r="AC356" s="1">
        <v>43.6</v>
      </c>
      <c r="AD356" s="1">
        <v>216.9</v>
      </c>
      <c r="AE356" s="1">
        <v>5.0</v>
      </c>
      <c r="AF356" s="1">
        <v>2.0</v>
      </c>
      <c r="AG356" s="1">
        <v>72.0</v>
      </c>
      <c r="AH356" s="1">
        <v>456.4</v>
      </c>
      <c r="AI356" s="1">
        <v>6.3</v>
      </c>
      <c r="AJ356" s="1">
        <v>11.3</v>
      </c>
      <c r="AK356" s="1">
        <v>10.8</v>
      </c>
      <c r="AL356" s="1">
        <v>1.8</v>
      </c>
      <c r="AM356" s="1">
        <v>23.8</v>
      </c>
      <c r="AN356" s="1">
        <v>6.3</v>
      </c>
      <c r="AO356" s="1">
        <v>58.8</v>
      </c>
      <c r="AP356" s="1">
        <v>0.4</v>
      </c>
      <c r="AQ356" s="1">
        <v>0.6</v>
      </c>
      <c r="AR356" s="1">
        <v>1.0</v>
      </c>
    </row>
    <row r="357" ht="15.75" customHeight="1">
      <c r="A357" s="1" t="str">
        <f>CONCATENATE(Scores!A357,"+++",Scores!C357)</f>
        <v> Texas A&amp;M+++Arkansas</v>
      </c>
      <c r="B357" s="1">
        <f>Scores!B357</f>
        <v>21</v>
      </c>
      <c r="C357" s="1" t="str">
        <f t="array" ref="C357">XLOOKUP(LEFT(A357,SEARCH("+",A357)-1),'Offensive Data'!$A$2:$A$134,'Offensive Data'!$D$2:$X$134)</f>
        <v>#N/A</v>
      </c>
      <c r="X357" s="1">
        <f t="array" ref="X357:AR357">XLOOKUP(MID(A357, SEARCH("+++", A357) + 3, LEN(A357)),'Defensive Data'!$A$2:$A$134,'Defensive Data'!$D$2:$X$134)</f>
        <v>19.9</v>
      </c>
      <c r="Y357" s="1">
        <v>32.2</v>
      </c>
      <c r="Z357" s="1">
        <v>62.0</v>
      </c>
      <c r="AA357" s="1">
        <v>246.9</v>
      </c>
      <c r="AB357" s="1">
        <v>1.7</v>
      </c>
      <c r="AC357" s="1">
        <v>35.6</v>
      </c>
      <c r="AD357" s="1">
        <v>129.2</v>
      </c>
      <c r="AE357" s="1">
        <v>3.6</v>
      </c>
      <c r="AF357" s="1">
        <v>1.2</v>
      </c>
      <c r="AG357" s="1">
        <v>67.8</v>
      </c>
      <c r="AH357" s="1">
        <v>376.1</v>
      </c>
      <c r="AI357" s="1">
        <v>5.5</v>
      </c>
      <c r="AJ357" s="1">
        <v>11.0</v>
      </c>
      <c r="AK357" s="1">
        <v>6.5</v>
      </c>
      <c r="AL357" s="1">
        <v>2.4</v>
      </c>
      <c r="AM357" s="1">
        <v>19.9</v>
      </c>
      <c r="AN357" s="1">
        <v>6.5</v>
      </c>
      <c r="AO357" s="1">
        <v>53.9</v>
      </c>
      <c r="AP357" s="1">
        <v>0.4</v>
      </c>
      <c r="AQ357" s="1">
        <v>0.8</v>
      </c>
      <c r="AR357" s="1">
        <v>1.2</v>
      </c>
    </row>
    <row r="358" ht="15.75" customHeight="1">
      <c r="A358" s="1" t="str">
        <f>CONCATENATE(Scores!A358,"+++",Scores!C358)</f>
        <v>Texas Christian+++Kansas</v>
      </c>
      <c r="B358" s="1">
        <f>Scores!B358</f>
        <v>38</v>
      </c>
      <c r="C358" s="1" t="str">
        <f t="array" ref="C358">XLOOKUP(LEFT(A358,SEARCH("+",A358)-1),'Offensive Data'!$A$2:$A$134,'Offensive Data'!$D$2:$X$134)</f>
        <v>#N/A</v>
      </c>
      <c r="X358" s="1">
        <f t="array" ref="X358:AR358">XLOOKUP(MID(A358, SEARCH("+++", A358) + 3, LEN(A358)),'Defensive Data'!$A$2:$A$134,'Defensive Data'!$D$2:$X$134)</f>
        <v>18.9</v>
      </c>
      <c r="Y358" s="1">
        <v>30.0</v>
      </c>
      <c r="Z358" s="1">
        <v>63.1</v>
      </c>
      <c r="AA358" s="1">
        <v>239.1</v>
      </c>
      <c r="AB358" s="1">
        <v>2.1</v>
      </c>
      <c r="AC358" s="1">
        <v>34.3</v>
      </c>
      <c r="AD358" s="1">
        <v>153.5</v>
      </c>
      <c r="AE358" s="1">
        <v>4.5</v>
      </c>
      <c r="AF358" s="1">
        <v>0.8</v>
      </c>
      <c r="AG358" s="1">
        <v>64.3</v>
      </c>
      <c r="AH358" s="1">
        <v>392.6</v>
      </c>
      <c r="AI358" s="1">
        <v>6.1</v>
      </c>
      <c r="AJ358" s="1">
        <v>10.5</v>
      </c>
      <c r="AK358" s="1">
        <v>9.6</v>
      </c>
      <c r="AL358" s="1">
        <v>1.2</v>
      </c>
      <c r="AM358" s="1">
        <v>21.3</v>
      </c>
      <c r="AN358" s="1">
        <v>4.5</v>
      </c>
      <c r="AO358" s="1">
        <v>40.8</v>
      </c>
      <c r="AP358" s="1">
        <v>0.4</v>
      </c>
      <c r="AQ358" s="1">
        <v>1.0</v>
      </c>
      <c r="AR358" s="1">
        <v>1.4</v>
      </c>
    </row>
    <row r="359" ht="15.75" customHeight="1">
      <c r="A359" s="1" t="str">
        <f>CONCATENATE(Scores!A359,"+++",Scores!C359)</f>
        <v>Texas Tech+++Cincinnati</v>
      </c>
      <c r="B359" s="1">
        <f>Scores!B359</f>
        <v>44</v>
      </c>
      <c r="C359" s="1">
        <f t="array" ref="C359:W359">XLOOKUP(LEFT(A359,SEARCH("+",A359)-1),'Offensive Data'!$A$2:$A$134,'Offensive Data'!$D$2:$X$134)</f>
        <v>25.8</v>
      </c>
      <c r="D359" s="1">
        <v>41.2</v>
      </c>
      <c r="E359" s="1">
        <v>62.7</v>
      </c>
      <c r="F359" s="1">
        <v>296.7</v>
      </c>
      <c r="G359" s="1">
        <v>2.4</v>
      </c>
      <c r="H359" s="1">
        <v>36.5</v>
      </c>
      <c r="I359" s="1">
        <v>166.0</v>
      </c>
      <c r="J359" s="1">
        <v>4.6</v>
      </c>
      <c r="K359" s="1">
        <v>2.0</v>
      </c>
      <c r="L359" s="1">
        <v>77.7</v>
      </c>
      <c r="M359" s="1">
        <v>462.7</v>
      </c>
      <c r="N359" s="1">
        <v>6.0</v>
      </c>
      <c r="O359" s="1">
        <v>13.4</v>
      </c>
      <c r="P359" s="1">
        <v>9.5</v>
      </c>
      <c r="Q359" s="1">
        <v>1.6</v>
      </c>
      <c r="R359" s="1">
        <v>24.5</v>
      </c>
      <c r="S359" s="1">
        <v>7.3</v>
      </c>
      <c r="T359" s="1">
        <v>60.9</v>
      </c>
      <c r="U359" s="1">
        <v>0.8</v>
      </c>
      <c r="V359" s="1">
        <v>0.8</v>
      </c>
      <c r="W359" s="1">
        <v>1.6</v>
      </c>
      <c r="X359" s="1">
        <f t="array" ref="X359:AR359">XLOOKUP(MID(A359, SEARCH("+++", A359) + 3, LEN(A359)),'Defensive Data'!$A$2:$A$134,'Defensive Data'!$D$2:$X$134)</f>
        <v>17.8</v>
      </c>
      <c r="Y359" s="1">
        <v>29.0</v>
      </c>
      <c r="Z359" s="1">
        <v>61.2</v>
      </c>
      <c r="AA359" s="1">
        <v>222.8</v>
      </c>
      <c r="AB359" s="1">
        <v>1.3</v>
      </c>
      <c r="AC359" s="1">
        <v>34.5</v>
      </c>
      <c r="AD359" s="1">
        <v>162.7</v>
      </c>
      <c r="AE359" s="1">
        <v>4.7</v>
      </c>
      <c r="AF359" s="1">
        <v>1.3</v>
      </c>
      <c r="AG359" s="1">
        <v>63.5</v>
      </c>
      <c r="AH359" s="1">
        <v>385.4</v>
      </c>
      <c r="AI359" s="1">
        <v>6.1</v>
      </c>
      <c r="AJ359" s="1">
        <v>9.6</v>
      </c>
      <c r="AK359" s="1">
        <v>7.7</v>
      </c>
      <c r="AL359" s="1">
        <v>1.5</v>
      </c>
      <c r="AM359" s="1">
        <v>18.8</v>
      </c>
      <c r="AN359" s="1">
        <v>5.4</v>
      </c>
      <c r="AO359" s="1">
        <v>42.9</v>
      </c>
      <c r="AP359" s="1">
        <v>0.8</v>
      </c>
      <c r="AQ359" s="1">
        <v>0.4</v>
      </c>
      <c r="AR359" s="1">
        <v>1.2</v>
      </c>
    </row>
    <row r="360" ht="15.75" customHeight="1">
      <c r="A360" s="1" t="str">
        <f>CONCATENATE(Scores!A360,"+++",Scores!C360)</f>
        <v>Tulane+++South Florida</v>
      </c>
      <c r="B360" s="1">
        <f>Scores!B360</f>
        <v>45</v>
      </c>
      <c r="C360" s="1">
        <f t="array" ref="C360:W360">XLOOKUP(LEFT(A360,SEARCH("+",A360)-1),'Offensive Data'!$A$2:$A$134,'Offensive Data'!$D$2:$X$134)</f>
        <v>14.8</v>
      </c>
      <c r="D360" s="1">
        <v>23.5</v>
      </c>
      <c r="E360" s="1">
        <v>62.9</v>
      </c>
      <c r="F360" s="1">
        <v>209.4</v>
      </c>
      <c r="G360" s="1">
        <v>1.8</v>
      </c>
      <c r="H360" s="1">
        <v>40.5</v>
      </c>
      <c r="I360" s="1">
        <v>195.6</v>
      </c>
      <c r="J360" s="1">
        <v>4.8</v>
      </c>
      <c r="K360" s="1">
        <v>2.3</v>
      </c>
      <c r="L360" s="1">
        <v>64.0</v>
      </c>
      <c r="M360" s="1">
        <v>405.0</v>
      </c>
      <c r="N360" s="1">
        <v>6.3</v>
      </c>
      <c r="O360" s="1">
        <v>8.5</v>
      </c>
      <c r="P360" s="1">
        <v>10.5</v>
      </c>
      <c r="Q360" s="1">
        <v>1.8</v>
      </c>
      <c r="R360" s="1">
        <v>20.8</v>
      </c>
      <c r="S360" s="1">
        <v>6.1</v>
      </c>
      <c r="T360" s="1">
        <v>50.1</v>
      </c>
      <c r="U360" s="1">
        <v>0.4</v>
      </c>
      <c r="V360" s="1">
        <v>0.6</v>
      </c>
      <c r="W360" s="1">
        <v>1.1</v>
      </c>
      <c r="X360" s="1">
        <f t="array" ref="X360:AR360">XLOOKUP(MID(A360, SEARCH("+++", A360) + 3, LEN(A360)),'Defensive Data'!$A$2:$A$134,'Defensive Data'!$D$2:$X$134)</f>
        <v>21.3</v>
      </c>
      <c r="Y360" s="1">
        <v>36.2</v>
      </c>
      <c r="Z360" s="1">
        <v>58.8</v>
      </c>
      <c r="AA360" s="1">
        <v>278.8</v>
      </c>
      <c r="AB360" s="1">
        <v>1.8</v>
      </c>
      <c r="AC360" s="1">
        <v>39.2</v>
      </c>
      <c r="AD360" s="1">
        <v>158.2</v>
      </c>
      <c r="AE360" s="1">
        <v>4.0</v>
      </c>
      <c r="AF360" s="1">
        <v>1.9</v>
      </c>
      <c r="AG360" s="1">
        <v>75.5</v>
      </c>
      <c r="AH360" s="1">
        <v>436.9</v>
      </c>
      <c r="AI360" s="1">
        <v>5.8</v>
      </c>
      <c r="AJ360" s="1">
        <v>11.5</v>
      </c>
      <c r="AK360" s="1">
        <v>8.5</v>
      </c>
      <c r="AL360" s="1">
        <v>2.7</v>
      </c>
      <c r="AM360" s="1">
        <v>22.7</v>
      </c>
      <c r="AN360" s="1">
        <v>8.5</v>
      </c>
      <c r="AO360" s="1">
        <v>73.2</v>
      </c>
      <c r="AP360" s="1">
        <v>1.0</v>
      </c>
      <c r="AQ360" s="1">
        <v>0.9</v>
      </c>
      <c r="AR360" s="1">
        <v>1.9</v>
      </c>
    </row>
    <row r="361" ht="15.75" customHeight="1">
      <c r="A361" s="1" t="str">
        <f>CONCATENATE(Scores!A361,"+++",Scores!C361)</f>
        <v>Wyoming+++Air Force</v>
      </c>
      <c r="B361" s="1">
        <f>Scores!B361</f>
        <v>31</v>
      </c>
      <c r="C361" s="1">
        <f t="array" ref="C361:W361">XLOOKUP(LEFT(A361,SEARCH("+",A361)-1),'Offensive Data'!$A$2:$A$134,'Offensive Data'!$D$2:$X$134)</f>
        <v>15.1</v>
      </c>
      <c r="D361" s="1">
        <v>28.9</v>
      </c>
      <c r="E361" s="1">
        <v>52.2</v>
      </c>
      <c r="F361" s="1">
        <v>189.4</v>
      </c>
      <c r="G361" s="1">
        <v>0.9</v>
      </c>
      <c r="H361" s="1">
        <v>38.3</v>
      </c>
      <c r="I361" s="1">
        <v>137.8</v>
      </c>
      <c r="J361" s="1">
        <v>3.6</v>
      </c>
      <c r="K361" s="1">
        <v>1.2</v>
      </c>
      <c r="L361" s="1">
        <v>67.3</v>
      </c>
      <c r="M361" s="1">
        <v>327.3</v>
      </c>
      <c r="N361" s="1">
        <v>4.9</v>
      </c>
      <c r="O361" s="1">
        <v>8.1</v>
      </c>
      <c r="P361" s="1">
        <v>7.2</v>
      </c>
      <c r="Q361" s="1">
        <v>2.1</v>
      </c>
      <c r="R361" s="1">
        <v>17.3</v>
      </c>
      <c r="S361" s="1">
        <v>5.5</v>
      </c>
      <c r="T361" s="1">
        <v>49.8</v>
      </c>
      <c r="U361" s="1">
        <v>0.4</v>
      </c>
      <c r="V361" s="1">
        <v>0.9</v>
      </c>
      <c r="W361" s="1">
        <v>1.3</v>
      </c>
      <c r="X361" s="1">
        <f t="array" ref="X361:AR361">XLOOKUP(MID(A361, SEARCH("+++", A361) + 3, LEN(A361)),'Defensive Data'!$A$2:$A$134,'Defensive Data'!$D$2:$X$134)</f>
        <v>15.6</v>
      </c>
      <c r="Y361" s="1">
        <v>24.1</v>
      </c>
      <c r="Z361" s="1">
        <v>64.7</v>
      </c>
      <c r="AA361" s="1">
        <v>188.5</v>
      </c>
      <c r="AB361" s="1">
        <v>1.0</v>
      </c>
      <c r="AC361" s="1">
        <v>33.6</v>
      </c>
      <c r="AD361" s="1">
        <v>153.4</v>
      </c>
      <c r="AE361" s="1">
        <v>4.6</v>
      </c>
      <c r="AF361" s="1">
        <v>1.9</v>
      </c>
      <c r="AG361" s="1">
        <v>57.7</v>
      </c>
      <c r="AH361" s="1">
        <v>341.9</v>
      </c>
      <c r="AI361" s="1">
        <v>5.9</v>
      </c>
      <c r="AJ361" s="1">
        <v>8.5</v>
      </c>
      <c r="AK361" s="1">
        <v>7.4</v>
      </c>
      <c r="AL361" s="1">
        <v>1.1</v>
      </c>
      <c r="AM361" s="1">
        <v>17.0</v>
      </c>
      <c r="AN361" s="1">
        <v>5.3</v>
      </c>
      <c r="AO361" s="1">
        <v>48.4</v>
      </c>
      <c r="AP361" s="1">
        <v>0.7</v>
      </c>
      <c r="AQ361" s="1">
        <v>0.3</v>
      </c>
      <c r="AR361" s="1">
        <v>1.0</v>
      </c>
    </row>
    <row r="362" ht="15.75" customHeight="1">
      <c r="A362" s="1" t="str">
        <f>CONCATENATE(Scores!A362,"+++",Scores!C362)</f>
        <v>Sam Houston+++Texas-El Paso</v>
      </c>
      <c r="B362" s="1">
        <f>Scores!B362</f>
        <v>41</v>
      </c>
      <c r="C362" s="1">
        <f t="array" ref="C362:W362">XLOOKUP(LEFT(A362,SEARCH("+",A362)-1),'Offensive Data'!$A$2:$A$134,'Offensive Data'!$D$2:$X$134)</f>
        <v>16.7</v>
      </c>
      <c r="D362" s="1">
        <v>26.9</v>
      </c>
      <c r="E362" s="1">
        <v>62.0</v>
      </c>
      <c r="F362" s="1">
        <v>168.2</v>
      </c>
      <c r="G362" s="1">
        <v>1.2</v>
      </c>
      <c r="H362" s="1">
        <v>42.8</v>
      </c>
      <c r="I362" s="1">
        <v>179.8</v>
      </c>
      <c r="J362" s="1">
        <v>4.2</v>
      </c>
      <c r="K362" s="1">
        <v>1.6</v>
      </c>
      <c r="L362" s="1">
        <v>69.8</v>
      </c>
      <c r="M362" s="1">
        <v>347.9</v>
      </c>
      <c r="N362" s="1">
        <v>5.0</v>
      </c>
      <c r="O362" s="1">
        <v>8.0</v>
      </c>
      <c r="P362" s="1">
        <v>9.5</v>
      </c>
      <c r="Q362" s="1">
        <v>1.4</v>
      </c>
      <c r="R362" s="1">
        <v>18.8</v>
      </c>
      <c r="S362" s="1">
        <v>4.6</v>
      </c>
      <c r="T362" s="1">
        <v>37.9</v>
      </c>
      <c r="U362" s="1">
        <v>0.5</v>
      </c>
      <c r="V362" s="1">
        <v>0.7</v>
      </c>
      <c r="W362" s="1">
        <v>1.2</v>
      </c>
      <c r="X362" s="1" t="str">
        <f t="array" ref="X362">XLOOKUP(MID(A362, SEARCH("+++", A362) + 3, LEN(A362)),'Defensive Data'!$A$2:$A$134,'Defensive Data'!$D$2:$X$134)</f>
        <v>#N/A</v>
      </c>
    </row>
    <row r="363" ht="15.75" customHeight="1">
      <c r="A363" s="1" t="str">
        <f>CONCATENATE(Scores!A363,"+++",Scores!C363)</f>
        <v>Texas State+++Troy</v>
      </c>
      <c r="B363" s="1">
        <f>Scores!B363</f>
        <v>38</v>
      </c>
      <c r="C363" s="1">
        <f t="array" ref="C363:W363">XLOOKUP(LEFT(A363,SEARCH("+",A363)-1),'Offensive Data'!$A$2:$A$134,'Offensive Data'!$D$2:$X$134)</f>
        <v>23</v>
      </c>
      <c r="D363" s="1">
        <v>32.9</v>
      </c>
      <c r="E363" s="1">
        <v>69.9</v>
      </c>
      <c r="F363" s="1">
        <v>268.7</v>
      </c>
      <c r="G363" s="1">
        <v>2.4</v>
      </c>
      <c r="H363" s="1">
        <v>40.7</v>
      </c>
      <c r="I363" s="1">
        <v>208.2</v>
      </c>
      <c r="J363" s="1">
        <v>5.1</v>
      </c>
      <c r="K363" s="1">
        <v>2.1</v>
      </c>
      <c r="L363" s="1">
        <v>73.6</v>
      </c>
      <c r="M363" s="1">
        <v>476.9</v>
      </c>
      <c r="N363" s="1">
        <v>6.5</v>
      </c>
      <c r="O363" s="1">
        <v>12.4</v>
      </c>
      <c r="P363" s="1">
        <v>12.1</v>
      </c>
      <c r="Q363" s="1">
        <v>1.6</v>
      </c>
      <c r="R363" s="1">
        <v>26.1</v>
      </c>
      <c r="S363" s="1">
        <v>6.8</v>
      </c>
      <c r="T363" s="1">
        <v>64.2</v>
      </c>
      <c r="U363" s="1">
        <v>0.7</v>
      </c>
      <c r="V363" s="1">
        <v>1.1</v>
      </c>
      <c r="W363" s="1">
        <v>1.8</v>
      </c>
      <c r="X363" s="1">
        <f t="array" ref="X363:AR363">XLOOKUP(MID(A363, SEARCH("+++", A363) + 3, LEN(A363)),'Defensive Data'!$A$2:$A$134,'Defensive Data'!$D$2:$X$134)</f>
        <v>18.5</v>
      </c>
      <c r="Y363" s="1">
        <v>27.7</v>
      </c>
      <c r="Z363" s="1">
        <v>66.9</v>
      </c>
      <c r="AA363" s="1">
        <v>221.6</v>
      </c>
      <c r="AB363" s="1">
        <v>1.1</v>
      </c>
      <c r="AC363" s="1">
        <v>33.8</v>
      </c>
      <c r="AD363" s="1">
        <v>145.3</v>
      </c>
      <c r="AE363" s="1">
        <v>4.3</v>
      </c>
      <c r="AF363" s="1">
        <v>2.0</v>
      </c>
      <c r="AG363" s="1">
        <v>61.4</v>
      </c>
      <c r="AH363" s="1">
        <v>366.9</v>
      </c>
      <c r="AI363" s="1">
        <v>6.0</v>
      </c>
      <c r="AJ363" s="1">
        <v>8.9</v>
      </c>
      <c r="AK363" s="1">
        <v>7.3</v>
      </c>
      <c r="AL363" s="1">
        <v>2.9</v>
      </c>
      <c r="AM363" s="1">
        <v>19.2</v>
      </c>
      <c r="AN363" s="1">
        <v>5.8</v>
      </c>
      <c r="AO363" s="1">
        <v>51.9</v>
      </c>
      <c r="AP363" s="1">
        <v>0.3</v>
      </c>
      <c r="AQ363" s="1">
        <v>0.5</v>
      </c>
      <c r="AR363" s="1">
        <v>0.8</v>
      </c>
    </row>
    <row r="364" ht="15.75" customHeight="1">
      <c r="A364" s="1" t="str">
        <f>CONCATENATE(Scores!A364,"+++",Scores!C364)</f>
        <v>Houston+++Texas Christian</v>
      </c>
      <c r="B364" s="1">
        <f>Scores!B364</f>
        <v>30</v>
      </c>
      <c r="C364" s="1">
        <f t="array" ref="C364:W364">XLOOKUP(LEFT(A364,SEARCH("+",A364)-1),'Offensive Data'!$A$2:$A$134,'Offensive Data'!$D$2:$X$134)</f>
        <v>15.2</v>
      </c>
      <c r="D364" s="1">
        <v>23.3</v>
      </c>
      <c r="E364" s="1">
        <v>65.0</v>
      </c>
      <c r="F364" s="1">
        <v>152.7</v>
      </c>
      <c r="G364" s="1">
        <v>0.8</v>
      </c>
      <c r="H364" s="1">
        <v>35.8</v>
      </c>
      <c r="I364" s="1">
        <v>135.4</v>
      </c>
      <c r="J364" s="1">
        <v>3.8</v>
      </c>
      <c r="K364" s="1">
        <v>0.8</v>
      </c>
      <c r="L364" s="1">
        <v>59.2</v>
      </c>
      <c r="M364" s="1">
        <v>288.1</v>
      </c>
      <c r="N364" s="1">
        <v>4.9</v>
      </c>
      <c r="O364" s="1">
        <v>6.4</v>
      </c>
      <c r="P364" s="1">
        <v>7.3</v>
      </c>
      <c r="Q364" s="1">
        <v>1.3</v>
      </c>
      <c r="R364" s="1">
        <v>15.1</v>
      </c>
      <c r="S364" s="1">
        <v>5.5</v>
      </c>
      <c r="T364" s="1">
        <v>51.9</v>
      </c>
      <c r="U364" s="1">
        <v>0.8</v>
      </c>
      <c r="V364" s="1">
        <v>1.4</v>
      </c>
      <c r="W364" s="1">
        <v>2.3</v>
      </c>
      <c r="X364" s="1" t="str">
        <f t="array" ref="X364">XLOOKUP(MID(A364, SEARCH("+++", A364) + 3, LEN(A364)),'Defensive Data'!$A$2:$A$134,'Defensive Data'!$D$2:$X$134)</f>
        <v>#N/A</v>
      </c>
    </row>
    <row r="365" ht="15.75" customHeight="1">
      <c r="A365" s="1" t="str">
        <f>CONCATENATE(Scores!A365,"+++",Scores!C365)</f>
        <v>Jacksonville State+++Kennesaw State</v>
      </c>
      <c r="B365" s="1">
        <f>Scores!B365</f>
        <v>63</v>
      </c>
      <c r="C365" s="1">
        <f t="array" ref="C365:W365">XLOOKUP(LEFT(A365,SEARCH("+",A365)-1),'Offensive Data'!$A$2:$A$134,'Offensive Data'!$D$2:$X$134)</f>
        <v>13.5</v>
      </c>
      <c r="D365" s="1">
        <v>22.4</v>
      </c>
      <c r="E365" s="1">
        <v>60.2</v>
      </c>
      <c r="F365" s="1">
        <v>190.4</v>
      </c>
      <c r="G365" s="1">
        <v>1.0</v>
      </c>
      <c r="H365" s="1">
        <v>46.1</v>
      </c>
      <c r="I365" s="1">
        <v>251.2</v>
      </c>
      <c r="J365" s="1">
        <v>5.4</v>
      </c>
      <c r="K365" s="1">
        <v>3.6</v>
      </c>
      <c r="L365" s="1">
        <v>68.6</v>
      </c>
      <c r="M365" s="1">
        <v>441.6</v>
      </c>
      <c r="N365" s="1">
        <v>6.4</v>
      </c>
      <c r="O365" s="1">
        <v>7.6</v>
      </c>
      <c r="P365" s="1">
        <v>12.8</v>
      </c>
      <c r="Q365" s="1">
        <v>2.4</v>
      </c>
      <c r="R365" s="1">
        <v>22.7</v>
      </c>
      <c r="S365" s="1">
        <v>5.9</v>
      </c>
      <c r="T365" s="1">
        <v>57.7</v>
      </c>
      <c r="U365" s="1">
        <v>0.6</v>
      </c>
      <c r="V365" s="1">
        <v>0.5</v>
      </c>
      <c r="W365" s="1">
        <v>1.1</v>
      </c>
      <c r="X365" s="1">
        <f t="array" ref="X365:AR365">XLOOKUP(MID(A365, SEARCH("+++", A365) + 3, LEN(A365)),'Defensive Data'!$A$2:$A$134,'Defensive Data'!$D$2:$X$134)</f>
        <v>20.3</v>
      </c>
      <c r="Y365" s="1">
        <v>30.1</v>
      </c>
      <c r="Z365" s="1">
        <v>67.3</v>
      </c>
      <c r="AA365" s="1">
        <v>236.8</v>
      </c>
      <c r="AB365" s="1">
        <v>1.8</v>
      </c>
      <c r="AC365" s="1">
        <v>38.2</v>
      </c>
      <c r="AD365" s="1">
        <v>175.9</v>
      </c>
      <c r="AE365" s="1">
        <v>4.6</v>
      </c>
      <c r="AF365" s="1">
        <v>2.1</v>
      </c>
      <c r="AG365" s="1">
        <v>68.3</v>
      </c>
      <c r="AH365" s="1">
        <v>412.7</v>
      </c>
      <c r="AI365" s="1">
        <v>6.0</v>
      </c>
      <c r="AJ365" s="1">
        <v>9.8</v>
      </c>
      <c r="AK365" s="1">
        <v>9.9</v>
      </c>
      <c r="AL365" s="1">
        <v>1.4</v>
      </c>
      <c r="AM365" s="1">
        <v>21.1</v>
      </c>
      <c r="AN365" s="1">
        <v>5.3</v>
      </c>
      <c r="AO365" s="1">
        <v>50.5</v>
      </c>
      <c r="AP365" s="1">
        <v>0.7</v>
      </c>
      <c r="AQ365" s="1">
        <v>0.3</v>
      </c>
      <c r="AR365" s="1">
        <v>1.0</v>
      </c>
    </row>
    <row r="366" ht="15.75" customHeight="1">
      <c r="A366" s="1" t="str">
        <f>CONCATENATE(Scores!A366,"+++",Scores!C366)</f>
        <v> Oregon+++Michigan State</v>
      </c>
      <c r="B366" s="1">
        <f>Scores!B366</f>
        <v>31</v>
      </c>
      <c r="C366" s="1" t="str">
        <f t="array" ref="C366">XLOOKUP(LEFT(A366,SEARCH("+",A366)-1),'Offensive Data'!$A$2:$A$134,'Offensive Data'!$D$2:$X$134)</f>
        <v>#N/A</v>
      </c>
      <c r="X366" s="1">
        <f t="array" ref="X366:AR366">XLOOKUP(MID(A366, SEARCH("+++", A366) + 3, LEN(A366)),'Defensive Data'!$A$2:$A$134,'Defensive Data'!$D$2:$X$134)</f>
        <v>17.2</v>
      </c>
      <c r="Y366" s="1">
        <v>28.3</v>
      </c>
      <c r="Z366" s="1">
        <v>60.8</v>
      </c>
      <c r="AA366" s="1">
        <v>206.9</v>
      </c>
      <c r="AB366" s="1">
        <v>1.7</v>
      </c>
      <c r="AC366" s="1">
        <v>33.7</v>
      </c>
      <c r="AD366" s="1">
        <v>125.1</v>
      </c>
      <c r="AE366" s="1">
        <v>3.7</v>
      </c>
      <c r="AF366" s="1">
        <v>1.6</v>
      </c>
      <c r="AG366" s="1">
        <v>61.9</v>
      </c>
      <c r="AH366" s="1">
        <v>332.0</v>
      </c>
      <c r="AI366" s="1">
        <v>5.4</v>
      </c>
      <c r="AJ366" s="1">
        <v>10.1</v>
      </c>
      <c r="AK366" s="1">
        <v>6.4</v>
      </c>
      <c r="AL366" s="1">
        <v>2.2</v>
      </c>
      <c r="AM366" s="1">
        <v>18.7</v>
      </c>
      <c r="AN366" s="1">
        <v>4.2</v>
      </c>
      <c r="AO366" s="1">
        <v>33.9</v>
      </c>
      <c r="AP366" s="1">
        <v>0.2</v>
      </c>
      <c r="AQ366" s="1">
        <v>0.8</v>
      </c>
      <c r="AR366" s="1">
        <v>0.9</v>
      </c>
    </row>
    <row r="367" ht="15.75" customHeight="1">
      <c r="A367" s="1" t="str">
        <f>CONCATENATE(Scores!A367,"+++",Scores!C367)</f>
        <v>Syracuse+++ Nevada-Las Vegas</v>
      </c>
      <c r="B367" s="1">
        <f>Scores!B367</f>
        <v>44</v>
      </c>
      <c r="C367" s="1">
        <f t="array" ref="C367:W367">XLOOKUP(LEFT(A367,SEARCH("+",A367)-1),'Offensive Data'!$A$2:$A$134,'Offensive Data'!$D$2:$X$134)</f>
        <v>30.2</v>
      </c>
      <c r="D367" s="1">
        <v>46.0</v>
      </c>
      <c r="E367" s="1">
        <v>65.7</v>
      </c>
      <c r="F367" s="1">
        <v>370.0</v>
      </c>
      <c r="G367" s="1">
        <v>2.6</v>
      </c>
      <c r="H367" s="1">
        <v>30.9</v>
      </c>
      <c r="I367" s="1">
        <v>97.6</v>
      </c>
      <c r="J367" s="1">
        <v>3.2</v>
      </c>
      <c r="K367" s="1">
        <v>1.7</v>
      </c>
      <c r="L367" s="1">
        <v>76.9</v>
      </c>
      <c r="M367" s="1">
        <v>467.6</v>
      </c>
      <c r="N367" s="1">
        <v>6.1</v>
      </c>
      <c r="O367" s="1">
        <v>17.8</v>
      </c>
      <c r="P367" s="1">
        <v>6.5</v>
      </c>
      <c r="Q367" s="1">
        <v>1.8</v>
      </c>
      <c r="R367" s="1">
        <v>26.0</v>
      </c>
      <c r="S367" s="1">
        <v>7.1</v>
      </c>
      <c r="T367" s="1">
        <v>59.2</v>
      </c>
      <c r="U367" s="1">
        <v>0.2</v>
      </c>
      <c r="V367" s="1">
        <v>0.9</v>
      </c>
      <c r="W367" s="1">
        <v>1.2</v>
      </c>
      <c r="X367" s="1" t="str">
        <f t="array" ref="X367">XLOOKUP(MID(A367, SEARCH("+++", A367) + 3, LEN(A367)),'Defensive Data'!$A$2:$A$134,'Defensive Data'!$D$2:$X$134)</f>
        <v>#N/A</v>
      </c>
    </row>
    <row r="368" ht="15.75" customHeight="1">
      <c r="A368" s="1" t="str">
        <f>CONCATENATE(Scores!A368,"+++",Scores!C368)</f>
        <v>Arizona State+++Kansas</v>
      </c>
      <c r="B368" s="1">
        <f>Scores!B368</f>
        <v>35</v>
      </c>
      <c r="C368" s="1">
        <f t="array" ref="C368:W368">XLOOKUP(LEFT(A368,SEARCH("+",A368)-1),'Offensive Data'!$A$2:$A$134,'Offensive Data'!$D$2:$X$134)</f>
        <v>16.7</v>
      </c>
      <c r="D368" s="1">
        <v>27.3</v>
      </c>
      <c r="E368" s="1">
        <v>61.3</v>
      </c>
      <c r="F368" s="1">
        <v>229.5</v>
      </c>
      <c r="G368" s="1">
        <v>1.9</v>
      </c>
      <c r="H368" s="1">
        <v>42.2</v>
      </c>
      <c r="I368" s="1">
        <v>199.9</v>
      </c>
      <c r="J368" s="1">
        <v>4.7</v>
      </c>
      <c r="K368" s="1">
        <v>2.1</v>
      </c>
      <c r="L368" s="1">
        <v>69.5</v>
      </c>
      <c r="M368" s="1">
        <v>429.4</v>
      </c>
      <c r="N368" s="1">
        <v>6.2</v>
      </c>
      <c r="O368" s="1">
        <v>9.6</v>
      </c>
      <c r="P368" s="1">
        <v>11.1</v>
      </c>
      <c r="Q368" s="1">
        <v>1.8</v>
      </c>
      <c r="R368" s="1">
        <v>22.5</v>
      </c>
      <c r="S368" s="1">
        <v>6.4</v>
      </c>
      <c r="T368" s="1">
        <v>53.6</v>
      </c>
      <c r="U368" s="1">
        <v>0.2</v>
      </c>
      <c r="V368" s="1">
        <v>0.4</v>
      </c>
      <c r="W368" s="1">
        <v>0.6</v>
      </c>
      <c r="X368" s="1">
        <f t="array" ref="X368:AR368">XLOOKUP(MID(A368, SEARCH("+++", A368) + 3, LEN(A368)),'Defensive Data'!$A$2:$A$134,'Defensive Data'!$D$2:$X$134)</f>
        <v>18.9</v>
      </c>
      <c r="Y368" s="1">
        <v>30.0</v>
      </c>
      <c r="Z368" s="1">
        <v>63.1</v>
      </c>
      <c r="AA368" s="1">
        <v>239.1</v>
      </c>
      <c r="AB368" s="1">
        <v>2.1</v>
      </c>
      <c r="AC368" s="1">
        <v>34.3</v>
      </c>
      <c r="AD368" s="1">
        <v>153.5</v>
      </c>
      <c r="AE368" s="1">
        <v>4.5</v>
      </c>
      <c r="AF368" s="1">
        <v>0.8</v>
      </c>
      <c r="AG368" s="1">
        <v>64.3</v>
      </c>
      <c r="AH368" s="1">
        <v>392.6</v>
      </c>
      <c r="AI368" s="1">
        <v>6.1</v>
      </c>
      <c r="AJ368" s="1">
        <v>10.5</v>
      </c>
      <c r="AK368" s="1">
        <v>9.6</v>
      </c>
      <c r="AL368" s="1">
        <v>1.2</v>
      </c>
      <c r="AM368" s="1">
        <v>21.3</v>
      </c>
      <c r="AN368" s="1">
        <v>4.5</v>
      </c>
      <c r="AO368" s="1">
        <v>40.8</v>
      </c>
      <c r="AP368" s="1">
        <v>0.4</v>
      </c>
      <c r="AQ368" s="1">
        <v>1.0</v>
      </c>
      <c r="AR368" s="1">
        <v>1.4</v>
      </c>
    </row>
    <row r="369" ht="15.75" customHeight="1">
      <c r="A369" s="1" t="str">
        <f>CONCATENATE(Scores!A369,"+++",Scores!C369)</f>
        <v>Arkansas+++ Tennessee</v>
      </c>
      <c r="B369" s="1">
        <f>Scores!B369</f>
        <v>19</v>
      </c>
      <c r="C369" s="1">
        <f t="array" ref="C369:W369">XLOOKUP(LEFT(A369,SEARCH("+",A369)-1),'Offensive Data'!$A$2:$A$134,'Offensive Data'!$D$2:$X$134)</f>
        <v>19.6</v>
      </c>
      <c r="D369" s="1">
        <v>31.8</v>
      </c>
      <c r="E369" s="1">
        <v>61.6</v>
      </c>
      <c r="F369" s="1">
        <v>274.7</v>
      </c>
      <c r="G369" s="1">
        <v>1.2</v>
      </c>
      <c r="H369" s="1">
        <v>38.0</v>
      </c>
      <c r="I369" s="1">
        <v>184.8</v>
      </c>
      <c r="J369" s="1">
        <v>4.9</v>
      </c>
      <c r="K369" s="1">
        <v>2.6</v>
      </c>
      <c r="L369" s="1">
        <v>69.8</v>
      </c>
      <c r="M369" s="1">
        <v>459.5</v>
      </c>
      <c r="N369" s="1">
        <v>6.6</v>
      </c>
      <c r="O369" s="1">
        <v>11.5</v>
      </c>
      <c r="P369" s="1">
        <v>11.5</v>
      </c>
      <c r="Q369" s="1">
        <v>1.2</v>
      </c>
      <c r="R369" s="1">
        <v>24.2</v>
      </c>
      <c r="S369" s="1">
        <v>7.2</v>
      </c>
      <c r="T369" s="1">
        <v>59.8</v>
      </c>
      <c r="U369" s="1">
        <v>1.1</v>
      </c>
      <c r="V369" s="1">
        <v>0.7</v>
      </c>
      <c r="W369" s="1">
        <v>1.8</v>
      </c>
      <c r="X369" s="1" t="str">
        <f t="array" ref="X369">XLOOKUP(MID(A369, SEARCH("+++", A369) + 3, LEN(A369)),'Defensive Data'!$A$2:$A$134,'Defensive Data'!$D$2:$X$134)</f>
        <v>#N/A</v>
      </c>
    </row>
    <row r="370" ht="15.75" customHeight="1">
      <c r="A370" s="1" t="str">
        <f>CONCATENATE(Scores!A370,"+++",Scores!C370)</f>
        <v>Arkansas State+++South Alabama</v>
      </c>
      <c r="B370" s="1">
        <f>Scores!B370</f>
        <v>18</v>
      </c>
      <c r="C370" s="1">
        <f t="array" ref="C370:W370">XLOOKUP(LEFT(A370,SEARCH("+",A370)-1),'Offensive Data'!$A$2:$A$134,'Offensive Data'!$D$2:$X$134)</f>
        <v>21.1</v>
      </c>
      <c r="D370" s="1">
        <v>34.0</v>
      </c>
      <c r="E370" s="1">
        <v>62.0</v>
      </c>
      <c r="F370" s="1">
        <v>227.5</v>
      </c>
      <c r="G370" s="1">
        <v>1.5</v>
      </c>
      <c r="H370" s="1">
        <v>37.5</v>
      </c>
      <c r="I370" s="1">
        <v>156.9</v>
      </c>
      <c r="J370" s="1">
        <v>4.2</v>
      </c>
      <c r="K370" s="1">
        <v>1.4</v>
      </c>
      <c r="L370" s="1">
        <v>71.5</v>
      </c>
      <c r="M370" s="1">
        <v>384.4</v>
      </c>
      <c r="N370" s="1">
        <v>5.4</v>
      </c>
      <c r="O370" s="1">
        <v>11.1</v>
      </c>
      <c r="P370" s="1">
        <v>8.7</v>
      </c>
      <c r="Q370" s="1">
        <v>2.1</v>
      </c>
      <c r="R370" s="1">
        <v>21.8</v>
      </c>
      <c r="S370" s="1">
        <v>5.6</v>
      </c>
      <c r="T370" s="1">
        <v>51.7</v>
      </c>
      <c r="U370" s="1">
        <v>0.6</v>
      </c>
      <c r="V370" s="1">
        <v>0.8</v>
      </c>
      <c r="W370" s="1">
        <v>1.4</v>
      </c>
      <c r="X370" s="1">
        <f t="array" ref="X370:AR370">XLOOKUP(MID(A370, SEARCH("+++", A370) + 3, LEN(A370)),'Defensive Data'!$A$2:$A$134,'Defensive Data'!$D$2:$X$134)</f>
        <v>21.4</v>
      </c>
      <c r="Y370" s="1">
        <v>33.1</v>
      </c>
      <c r="Z370" s="1">
        <v>64.7</v>
      </c>
      <c r="AA370" s="1">
        <v>248.8</v>
      </c>
      <c r="AB370" s="1">
        <v>1.4</v>
      </c>
      <c r="AC370" s="1">
        <v>35.0</v>
      </c>
      <c r="AD370" s="1">
        <v>142.2</v>
      </c>
      <c r="AE370" s="1">
        <v>4.1</v>
      </c>
      <c r="AF370" s="1">
        <v>1.5</v>
      </c>
      <c r="AG370" s="1">
        <v>68.1</v>
      </c>
      <c r="AH370" s="1">
        <v>391.0</v>
      </c>
      <c r="AI370" s="1">
        <v>5.7</v>
      </c>
      <c r="AJ370" s="1">
        <v>11.1</v>
      </c>
      <c r="AK370" s="1">
        <v>7.8</v>
      </c>
      <c r="AL370" s="1">
        <v>2.2</v>
      </c>
      <c r="AM370" s="1">
        <v>21.1</v>
      </c>
      <c r="AN370" s="1">
        <v>5.4</v>
      </c>
      <c r="AO370" s="1">
        <v>48.3</v>
      </c>
      <c r="AP370" s="1">
        <v>0.3</v>
      </c>
      <c r="AQ370" s="1">
        <v>1.2</v>
      </c>
      <c r="AR370" s="1">
        <v>1.5</v>
      </c>
    </row>
    <row r="371" ht="15.75" customHeight="1">
      <c r="A371" s="1" t="str">
        <f>CONCATENATE(Scores!A371,"+++",Scores!C371)</f>
        <v>Army+++Tulsa</v>
      </c>
      <c r="B371" s="1">
        <f>Scores!B371</f>
        <v>49</v>
      </c>
      <c r="C371" s="1">
        <f t="array" ref="C371:W371">XLOOKUP(LEFT(A371,SEARCH("+",A371)-1),'Offensive Data'!$A$2:$A$134,'Offensive Data'!$D$2:$X$134)</f>
        <v>4.7</v>
      </c>
      <c r="D371" s="1">
        <v>8.7</v>
      </c>
      <c r="E371" s="1">
        <v>54.1</v>
      </c>
      <c r="F371" s="1">
        <v>80.6</v>
      </c>
      <c r="G371" s="1">
        <v>0.7</v>
      </c>
      <c r="H371" s="1">
        <v>54.6</v>
      </c>
      <c r="I371" s="1">
        <v>300.5</v>
      </c>
      <c r="J371" s="1">
        <v>5.5</v>
      </c>
      <c r="K371" s="1">
        <v>3.4</v>
      </c>
      <c r="L371" s="1">
        <v>63.3</v>
      </c>
      <c r="M371" s="1">
        <v>381.1</v>
      </c>
      <c r="N371" s="1">
        <v>6.0</v>
      </c>
      <c r="O371" s="1">
        <v>3.1</v>
      </c>
      <c r="P371" s="1">
        <v>16.4</v>
      </c>
      <c r="Q371" s="1">
        <v>1.3</v>
      </c>
      <c r="R371" s="1">
        <v>20.9</v>
      </c>
      <c r="S371" s="1">
        <v>3.2</v>
      </c>
      <c r="T371" s="1">
        <v>31.5</v>
      </c>
      <c r="U371" s="1">
        <v>0.4</v>
      </c>
      <c r="V371" s="1">
        <v>0.3</v>
      </c>
      <c r="W371" s="1">
        <v>0.6</v>
      </c>
      <c r="X371" s="1">
        <f t="array" ref="X371:AR371">XLOOKUP(MID(A371, SEARCH("+++", A371) + 3, LEN(A371)),'Defensive Data'!$A$2:$A$134,'Defensive Data'!$D$2:$X$134)</f>
        <v>21.8</v>
      </c>
      <c r="Y371" s="1">
        <v>33.0</v>
      </c>
      <c r="Z371" s="1">
        <v>65.9</v>
      </c>
      <c r="AA371" s="1">
        <v>316.0</v>
      </c>
      <c r="AB371" s="1">
        <v>3.2</v>
      </c>
      <c r="AC371" s="1">
        <v>37.3</v>
      </c>
      <c r="AD371" s="1">
        <v>180.8</v>
      </c>
      <c r="AE371" s="1">
        <v>4.9</v>
      </c>
      <c r="AF371" s="1">
        <v>2.3</v>
      </c>
      <c r="AG371" s="1">
        <v>70.3</v>
      </c>
      <c r="AH371" s="1">
        <v>496.8</v>
      </c>
      <c r="AI371" s="1">
        <v>7.1</v>
      </c>
      <c r="AJ371" s="1">
        <v>12.8</v>
      </c>
      <c r="AK371" s="1">
        <v>8.3</v>
      </c>
      <c r="AL371" s="1">
        <v>1.1</v>
      </c>
      <c r="AM371" s="1">
        <v>22.2</v>
      </c>
      <c r="AN371" s="1">
        <v>8.1</v>
      </c>
      <c r="AO371" s="1">
        <v>80.3</v>
      </c>
      <c r="AP371" s="1">
        <v>0.6</v>
      </c>
      <c r="AQ371" s="1">
        <v>0.8</v>
      </c>
      <c r="AR371" s="1">
        <v>1.3</v>
      </c>
    </row>
    <row r="372" ht="15.75" customHeight="1">
      <c r="A372" s="1" t="str">
        <f>CONCATENATE(Scores!A372,"+++",Scores!C372)</f>
        <v> Boise State+++Utah State</v>
      </c>
      <c r="B372" s="1">
        <f>Scores!B372</f>
        <v>62</v>
      </c>
      <c r="C372" s="1" t="str">
        <f t="array" ref="C372">XLOOKUP(LEFT(A372,SEARCH("+",A372)-1),'Offensive Data'!$A$2:$A$134,'Offensive Data'!$D$2:$X$134)</f>
        <v>#N/A</v>
      </c>
      <c r="X372" s="1">
        <f t="array" ref="X372:AR372">XLOOKUP(MID(A372, SEARCH("+++", A372) + 3, LEN(A372)),'Defensive Data'!$A$2:$A$134,'Defensive Data'!$D$2:$X$134)</f>
        <v>22.3</v>
      </c>
      <c r="Y372" s="1">
        <v>32.8</v>
      </c>
      <c r="Z372" s="1">
        <v>67.9</v>
      </c>
      <c r="AA372" s="1">
        <v>255.6</v>
      </c>
      <c r="AB372" s="1">
        <v>2.3</v>
      </c>
      <c r="AC372" s="1">
        <v>39.8</v>
      </c>
      <c r="AD372" s="1">
        <v>214.5</v>
      </c>
      <c r="AE372" s="1">
        <v>5.4</v>
      </c>
      <c r="AF372" s="1">
        <v>2.3</v>
      </c>
      <c r="AG372" s="1">
        <v>72.6</v>
      </c>
      <c r="AH372" s="1">
        <v>470.1</v>
      </c>
      <c r="AI372" s="1">
        <v>6.5</v>
      </c>
      <c r="AJ372" s="1">
        <v>12.3</v>
      </c>
      <c r="AK372" s="1">
        <v>9.3</v>
      </c>
      <c r="AL372" s="1">
        <v>1.8</v>
      </c>
      <c r="AM372" s="1">
        <v>23.4</v>
      </c>
      <c r="AN372" s="1">
        <v>7.5</v>
      </c>
      <c r="AO372" s="1">
        <v>59.4</v>
      </c>
      <c r="AP372" s="1">
        <v>0.3</v>
      </c>
      <c r="AQ372" s="1">
        <v>1.1</v>
      </c>
      <c r="AR372" s="1">
        <v>1.3</v>
      </c>
    </row>
    <row r="373" ht="15.75" customHeight="1">
      <c r="A373" s="1" t="str">
        <f>CONCATENATE(Scores!A373,"+++",Scores!C373)</f>
        <v>Bowling Green+++Akron</v>
      </c>
      <c r="B373" s="1">
        <f>Scores!B373</f>
        <v>27</v>
      </c>
      <c r="C373" s="1" t="str">
        <f t="array" ref="C373">XLOOKUP(LEFT(A373,SEARCH("+",A373)-1),'Offensive Data'!$A$2:$A$134,'Offensive Data'!$D$2:$X$134)</f>
        <v>#N/A</v>
      </c>
      <c r="X373" s="1">
        <f t="array" ref="X373:AR373">XLOOKUP(MID(A373, SEARCH("+++", A373) + 3, LEN(A373)),'Defensive Data'!$A$2:$A$134,'Defensive Data'!$D$2:$X$134)</f>
        <v>18.4</v>
      </c>
      <c r="Y373" s="1">
        <v>28.6</v>
      </c>
      <c r="Z373" s="1">
        <v>64.4</v>
      </c>
      <c r="AA373" s="1">
        <v>231.1</v>
      </c>
      <c r="AB373" s="1">
        <v>2.0</v>
      </c>
      <c r="AC373" s="1">
        <v>39.7</v>
      </c>
      <c r="AD373" s="1">
        <v>183.3</v>
      </c>
      <c r="AE373" s="1">
        <v>4.6</v>
      </c>
      <c r="AF373" s="1">
        <v>1.9</v>
      </c>
      <c r="AG373" s="1">
        <v>68.3</v>
      </c>
      <c r="AH373" s="1">
        <v>414.4</v>
      </c>
      <c r="AI373" s="1">
        <v>6.1</v>
      </c>
      <c r="AJ373" s="1">
        <v>10.2</v>
      </c>
      <c r="AK373" s="1">
        <v>8.7</v>
      </c>
      <c r="AL373" s="1">
        <v>1.6</v>
      </c>
      <c r="AM373" s="1">
        <v>20.4</v>
      </c>
      <c r="AN373" s="1">
        <v>6.7</v>
      </c>
      <c r="AO373" s="1">
        <v>53.4</v>
      </c>
      <c r="AP373" s="1">
        <v>0.6</v>
      </c>
      <c r="AQ373" s="1">
        <v>0.3</v>
      </c>
      <c r="AR373" s="1">
        <v>0.8</v>
      </c>
    </row>
    <row r="374" ht="15.75" customHeight="1">
      <c r="A374" s="1" t="str">
        <f>CONCATENATE(Scores!A374,"+++",Scores!C374)</f>
        <v>Charlotte+++East Carolina</v>
      </c>
      <c r="B374" s="1">
        <f>Scores!B374</f>
        <v>55</v>
      </c>
      <c r="C374" s="1">
        <f t="array" ref="C374:W374">XLOOKUP(LEFT(A374,SEARCH("+",A374)-1),'Offensive Data'!$A$2:$A$134,'Offensive Data'!$D$2:$X$134)</f>
        <v>14.8</v>
      </c>
      <c r="D374" s="1">
        <v>29.4</v>
      </c>
      <c r="E374" s="1">
        <v>50.1</v>
      </c>
      <c r="F374" s="1">
        <v>224.1</v>
      </c>
      <c r="G374" s="1">
        <v>1.3</v>
      </c>
      <c r="H374" s="1">
        <v>32.5</v>
      </c>
      <c r="I374" s="1">
        <v>117.1</v>
      </c>
      <c r="J374" s="1">
        <v>3.6</v>
      </c>
      <c r="K374" s="1">
        <v>1.3</v>
      </c>
      <c r="L374" s="1">
        <v>61.9</v>
      </c>
      <c r="M374" s="1">
        <v>341.2</v>
      </c>
      <c r="N374" s="1">
        <v>5.5</v>
      </c>
      <c r="O374" s="1">
        <v>8.7</v>
      </c>
      <c r="P374" s="1">
        <v>6.4</v>
      </c>
      <c r="Q374" s="1">
        <v>2.1</v>
      </c>
      <c r="R374" s="1">
        <v>17.2</v>
      </c>
      <c r="S374" s="1">
        <v>7.8</v>
      </c>
      <c r="T374" s="1">
        <v>65.3</v>
      </c>
      <c r="U374" s="1">
        <v>0.6</v>
      </c>
      <c r="V374" s="1">
        <v>1.2</v>
      </c>
      <c r="W374" s="1">
        <v>1.8</v>
      </c>
      <c r="X374" s="1">
        <f t="array" ref="X374:AR374">XLOOKUP(MID(A374, SEARCH("+++", A374) + 3, LEN(A374)),'Defensive Data'!$A$2:$A$134,'Defensive Data'!$D$2:$X$134)</f>
        <v>19.6</v>
      </c>
      <c r="Y374" s="1">
        <v>32.7</v>
      </c>
      <c r="Z374" s="1">
        <v>60.0</v>
      </c>
      <c r="AA374" s="1">
        <v>235.3</v>
      </c>
      <c r="AB374" s="1">
        <v>1.8</v>
      </c>
      <c r="AC374" s="1">
        <v>41.8</v>
      </c>
      <c r="AD374" s="1">
        <v>169.8</v>
      </c>
      <c r="AE374" s="1">
        <v>4.1</v>
      </c>
      <c r="AF374" s="1">
        <v>1.6</v>
      </c>
      <c r="AG374" s="1">
        <v>74.5</v>
      </c>
      <c r="AH374" s="1">
        <v>405.2</v>
      </c>
      <c r="AI374" s="1">
        <v>5.4</v>
      </c>
      <c r="AJ374" s="1">
        <v>10.4</v>
      </c>
      <c r="AK374" s="1">
        <v>8.6</v>
      </c>
      <c r="AL374" s="1">
        <v>2.2</v>
      </c>
      <c r="AM374" s="1">
        <v>21.2</v>
      </c>
      <c r="AN374" s="1">
        <v>6.9</v>
      </c>
      <c r="AO374" s="1">
        <v>60.8</v>
      </c>
      <c r="AP374" s="1">
        <v>0.6</v>
      </c>
      <c r="AQ374" s="1">
        <v>1.1</v>
      </c>
      <c r="AR374" s="1">
        <v>1.7</v>
      </c>
    </row>
    <row r="375" ht="15.75" customHeight="1">
      <c r="A375" s="1" t="str">
        <f>CONCATENATE(Scores!A375,"+++",Scores!C375)</f>
        <v> Clemson+++Florida State</v>
      </c>
      <c r="B375" s="1">
        <f>Scores!B375</f>
        <v>29</v>
      </c>
      <c r="C375" s="1" t="str">
        <f t="array" ref="C375">XLOOKUP(LEFT(A375,SEARCH("+",A375)-1),'Offensive Data'!$A$2:$A$134,'Offensive Data'!$D$2:$X$134)</f>
        <v>#N/A</v>
      </c>
      <c r="X375" s="1">
        <f t="array" ref="X375:AR375">XLOOKUP(MID(A375, SEARCH("+++", A375) + 3, LEN(A375)),'Defensive Data'!$A$2:$A$134,'Defensive Data'!$D$2:$X$134)</f>
        <v>17</v>
      </c>
      <c r="Y375" s="1">
        <v>27.2</v>
      </c>
      <c r="Z375" s="1">
        <v>62.6</v>
      </c>
      <c r="AA375" s="1">
        <v>201.3</v>
      </c>
      <c r="AB375" s="1">
        <v>1.3</v>
      </c>
      <c r="AC375" s="1">
        <v>39.8</v>
      </c>
      <c r="AD375" s="1">
        <v>184.7</v>
      </c>
      <c r="AE375" s="1">
        <v>4.6</v>
      </c>
      <c r="AF375" s="1">
        <v>1.8</v>
      </c>
      <c r="AG375" s="1">
        <v>66.9</v>
      </c>
      <c r="AH375" s="1">
        <v>385.9</v>
      </c>
      <c r="AI375" s="1">
        <v>5.8</v>
      </c>
      <c r="AJ375" s="1">
        <v>9.2</v>
      </c>
      <c r="AK375" s="1">
        <v>9.7</v>
      </c>
      <c r="AL375" s="1">
        <v>2.1</v>
      </c>
      <c r="AM375" s="1">
        <v>20.9</v>
      </c>
      <c r="AN375" s="1">
        <v>4.8</v>
      </c>
      <c r="AO375" s="1">
        <v>43.8</v>
      </c>
      <c r="AP375" s="1">
        <v>0.2</v>
      </c>
      <c r="AQ375" s="1">
        <v>0.3</v>
      </c>
      <c r="AR375" s="1">
        <v>0.5</v>
      </c>
    </row>
    <row r="376" ht="15.75" customHeight="1">
      <c r="A376" s="1" t="str">
        <f>CONCATENATE(Scores!A376,"+++",Scores!C376)</f>
        <v>Coastal Carolina+++Old Dominion</v>
      </c>
      <c r="B376" s="1">
        <f>Scores!B376</f>
        <v>45</v>
      </c>
      <c r="C376" s="1">
        <f t="array" ref="C376:W376">XLOOKUP(LEFT(A376,SEARCH("+",A376)-1),'Offensive Data'!$A$2:$A$134,'Offensive Data'!$D$2:$X$134)</f>
        <v>15</v>
      </c>
      <c r="D376" s="1">
        <v>27.6</v>
      </c>
      <c r="E376" s="1">
        <v>54.3</v>
      </c>
      <c r="F376" s="1">
        <v>202.0</v>
      </c>
      <c r="G376" s="1">
        <v>1.5</v>
      </c>
      <c r="H376" s="1">
        <v>37.2</v>
      </c>
      <c r="I376" s="1">
        <v>172.5</v>
      </c>
      <c r="J376" s="1">
        <v>4.6</v>
      </c>
      <c r="K376" s="1">
        <v>1.6</v>
      </c>
      <c r="L376" s="1">
        <v>64.8</v>
      </c>
      <c r="M376" s="1">
        <v>374.5</v>
      </c>
      <c r="N376" s="1">
        <v>5.8</v>
      </c>
      <c r="O376" s="1">
        <v>7.9</v>
      </c>
      <c r="P376" s="1">
        <v>8.4</v>
      </c>
      <c r="Q376" s="1">
        <v>1.8</v>
      </c>
      <c r="R376" s="1">
        <v>18.1</v>
      </c>
      <c r="S376" s="1">
        <v>6.9</v>
      </c>
      <c r="T376" s="1">
        <v>63.8</v>
      </c>
      <c r="U376" s="1">
        <v>0.5</v>
      </c>
      <c r="V376" s="1">
        <v>0.8</v>
      </c>
      <c r="W376" s="1">
        <v>1.3</v>
      </c>
      <c r="X376" s="1">
        <f t="array" ref="X376:AR376">XLOOKUP(MID(A376, SEARCH("+++", A376) + 3, LEN(A376)),'Defensive Data'!$A$2:$A$134,'Defensive Data'!$D$2:$X$134)</f>
        <v>19</v>
      </c>
      <c r="Y376" s="1">
        <v>31.2</v>
      </c>
      <c r="Z376" s="1">
        <v>61.0</v>
      </c>
      <c r="AA376" s="1">
        <v>237.8</v>
      </c>
      <c r="AB376" s="1">
        <v>1.9</v>
      </c>
      <c r="AC376" s="1">
        <v>40.4</v>
      </c>
      <c r="AD376" s="1">
        <v>172.6</v>
      </c>
      <c r="AE376" s="1">
        <v>4.3</v>
      </c>
      <c r="AF376" s="1">
        <v>1.5</v>
      </c>
      <c r="AG376" s="1">
        <v>71.6</v>
      </c>
      <c r="AH376" s="1">
        <v>410.4</v>
      </c>
      <c r="AI376" s="1">
        <v>5.7</v>
      </c>
      <c r="AJ376" s="1">
        <v>9.8</v>
      </c>
      <c r="AK376" s="1">
        <v>9.7</v>
      </c>
      <c r="AL376" s="1">
        <v>1.8</v>
      </c>
      <c r="AM376" s="1">
        <v>21.3</v>
      </c>
      <c r="AN376" s="1">
        <v>5.9</v>
      </c>
      <c r="AO376" s="1">
        <v>49.2</v>
      </c>
      <c r="AP376" s="1">
        <v>0.4</v>
      </c>
      <c r="AQ376" s="1">
        <v>1.0</v>
      </c>
      <c r="AR376" s="1">
        <v>1.4</v>
      </c>
    </row>
    <row r="377" ht="15.75" customHeight="1">
      <c r="A377" s="1" t="str">
        <f>CONCATENATE(Scores!A377,"+++",Scores!C377)</f>
        <v>Connecticut+++Temple</v>
      </c>
      <c r="B377" s="1">
        <f>Scores!B377</f>
        <v>29</v>
      </c>
      <c r="C377" s="1">
        <f t="array" ref="C377:W377">XLOOKUP(LEFT(A377,SEARCH("+",A377)-1),'Offensive Data'!$A$2:$A$134,'Offensive Data'!$D$2:$X$134)</f>
        <v>17.1</v>
      </c>
      <c r="D377" s="1">
        <v>30.5</v>
      </c>
      <c r="E377" s="1">
        <v>56.1</v>
      </c>
      <c r="F377" s="1">
        <v>198.4</v>
      </c>
      <c r="G377" s="1">
        <v>1.9</v>
      </c>
      <c r="H377" s="1">
        <v>39.7</v>
      </c>
      <c r="I377" s="1">
        <v>199.2</v>
      </c>
      <c r="J377" s="1">
        <v>5.0</v>
      </c>
      <c r="K377" s="1">
        <v>1.8</v>
      </c>
      <c r="L377" s="1">
        <v>70.2</v>
      </c>
      <c r="M377" s="1">
        <v>397.6</v>
      </c>
      <c r="N377" s="1">
        <v>5.7</v>
      </c>
      <c r="O377" s="1">
        <v>8.8</v>
      </c>
      <c r="P377" s="1">
        <v>9.3</v>
      </c>
      <c r="Q377" s="1">
        <v>2.5</v>
      </c>
      <c r="R377" s="1">
        <v>20.6</v>
      </c>
      <c r="S377" s="1">
        <v>5.3</v>
      </c>
      <c r="T377" s="1">
        <v>52.7</v>
      </c>
      <c r="U377" s="1">
        <v>0.5</v>
      </c>
      <c r="V377" s="1">
        <v>0.7</v>
      </c>
      <c r="W377" s="1">
        <v>1.2</v>
      </c>
      <c r="X377" s="1">
        <f t="array" ref="X377:AR377">XLOOKUP(MID(A377, SEARCH("+++", A377) + 3, LEN(A377)),'Defensive Data'!$A$2:$A$134,'Defensive Data'!$D$2:$X$134)</f>
        <v>16.3</v>
      </c>
      <c r="Y377" s="1">
        <v>27.8</v>
      </c>
      <c r="Z377" s="1">
        <v>58.9</v>
      </c>
      <c r="AA377" s="1">
        <v>191.7</v>
      </c>
      <c r="AB377" s="1">
        <v>1.7</v>
      </c>
      <c r="AC377" s="1">
        <v>40.8</v>
      </c>
      <c r="AD377" s="1">
        <v>226.1</v>
      </c>
      <c r="AE377" s="1">
        <v>5.5</v>
      </c>
      <c r="AF377" s="1">
        <v>2.5</v>
      </c>
      <c r="AG377" s="1">
        <v>68.6</v>
      </c>
      <c r="AH377" s="1">
        <v>417.8</v>
      </c>
      <c r="AI377" s="1">
        <v>6.1</v>
      </c>
      <c r="AJ377" s="1">
        <v>8.4</v>
      </c>
      <c r="AK377" s="1">
        <v>10.0</v>
      </c>
      <c r="AL377" s="1">
        <v>1.6</v>
      </c>
      <c r="AM377" s="1">
        <v>20.0</v>
      </c>
      <c r="AN377" s="1">
        <v>5.4</v>
      </c>
      <c r="AO377" s="1">
        <v>47.1</v>
      </c>
      <c r="AP377" s="1">
        <v>0.5</v>
      </c>
      <c r="AQ377" s="1">
        <v>0.8</v>
      </c>
      <c r="AR377" s="1">
        <v>1.3</v>
      </c>
    </row>
    <row r="378" ht="15.75" customHeight="1">
      <c r="A378" s="1" t="str">
        <f>CONCATENATE(Scores!A378,"+++",Scores!C378)</f>
        <v>Florida+++Central Florida</v>
      </c>
      <c r="B378" s="1">
        <f>Scores!B378</f>
        <v>24</v>
      </c>
      <c r="C378" s="1">
        <f t="array" ref="C378:W378">XLOOKUP(LEFT(A378,SEARCH("+",A378)-1),'Offensive Data'!$A$2:$A$134,'Offensive Data'!$D$2:$X$134)</f>
        <v>16</v>
      </c>
      <c r="D378" s="1">
        <v>26.3</v>
      </c>
      <c r="E378" s="1">
        <v>60.8</v>
      </c>
      <c r="F378" s="1">
        <v>225.7</v>
      </c>
      <c r="G378" s="1">
        <v>1.4</v>
      </c>
      <c r="H378" s="1">
        <v>35.5</v>
      </c>
      <c r="I378" s="1">
        <v>161.2</v>
      </c>
      <c r="J378" s="1">
        <v>4.5</v>
      </c>
      <c r="K378" s="1">
        <v>2.0</v>
      </c>
      <c r="L378" s="1">
        <v>61.8</v>
      </c>
      <c r="M378" s="1">
        <v>386.9</v>
      </c>
      <c r="N378" s="1">
        <v>6.3</v>
      </c>
      <c r="O378" s="1">
        <v>9.2</v>
      </c>
      <c r="P378" s="1">
        <v>8.7</v>
      </c>
      <c r="Q378" s="1">
        <v>1.4</v>
      </c>
      <c r="R378" s="1">
        <v>19.2</v>
      </c>
      <c r="S378" s="1">
        <v>5.9</v>
      </c>
      <c r="T378" s="1">
        <v>54.0</v>
      </c>
      <c r="U378" s="1">
        <v>0.4</v>
      </c>
      <c r="V378" s="1">
        <v>1.1</v>
      </c>
      <c r="W378" s="1">
        <v>1.5</v>
      </c>
      <c r="X378" s="1" t="str">
        <f t="array" ref="X378">XLOOKUP(MID(A378, SEARCH("+++", A378) + 3, LEN(A378)),'Defensive Data'!$A$2:$A$134,'Defensive Data'!$D$2:$X$134)</f>
        <v>#N/A</v>
      </c>
    </row>
    <row r="379" ht="15.75" customHeight="1">
      <c r="A379" s="1" t="str">
        <f>CONCATENATE(Scores!A379,"+++",Scores!C379)</f>
        <v> Georgia+++Auburn</v>
      </c>
      <c r="B379" s="1">
        <f>Scores!B379</f>
        <v>31</v>
      </c>
      <c r="C379" s="1" t="str">
        <f t="array" ref="C379">XLOOKUP(LEFT(A379,SEARCH("+",A379)-1),'Offensive Data'!$A$2:$A$134,'Offensive Data'!$D$2:$X$134)</f>
        <v>#N/A</v>
      </c>
      <c r="X379" s="1">
        <f t="array" ref="X379:AR379">XLOOKUP(MID(A379, SEARCH("+++", A379) + 3, LEN(A379)),'Defensive Data'!$A$2:$A$134,'Defensive Data'!$D$2:$X$134)</f>
        <v>16.6</v>
      </c>
      <c r="Y379" s="1">
        <v>29.5</v>
      </c>
      <c r="Z379" s="1">
        <v>56.2</v>
      </c>
      <c r="AA379" s="1">
        <v>213.0</v>
      </c>
      <c r="AB379" s="1">
        <v>1.0</v>
      </c>
      <c r="AC379" s="1">
        <v>38.3</v>
      </c>
      <c r="AD379" s="1">
        <v>117.8</v>
      </c>
      <c r="AE379" s="1">
        <v>3.1</v>
      </c>
      <c r="AF379" s="1">
        <v>1.5</v>
      </c>
      <c r="AG379" s="1">
        <v>67.8</v>
      </c>
      <c r="AH379" s="1">
        <v>330.8</v>
      </c>
      <c r="AI379" s="1">
        <v>4.9</v>
      </c>
      <c r="AJ379" s="1">
        <v>8.4</v>
      </c>
      <c r="AK379" s="1">
        <v>7.5</v>
      </c>
      <c r="AL379" s="1">
        <v>1.8</v>
      </c>
      <c r="AM379" s="1">
        <v>17.8</v>
      </c>
      <c r="AN379" s="1">
        <v>6.5</v>
      </c>
      <c r="AO379" s="1">
        <v>53.5</v>
      </c>
      <c r="AP379" s="1">
        <v>0.4</v>
      </c>
      <c r="AQ379" s="1">
        <v>0.7</v>
      </c>
      <c r="AR379" s="1">
        <v>1.1</v>
      </c>
    </row>
    <row r="380" ht="15.75" customHeight="1">
      <c r="A380" s="1" t="str">
        <f>CONCATENATE(Scores!A380,"+++",Scores!C380)</f>
        <v>Georgia Tech+++Duke</v>
      </c>
      <c r="B380" s="1">
        <f>Scores!B380</f>
        <v>24</v>
      </c>
      <c r="C380" s="1">
        <f t="array" ref="C380:W380">XLOOKUP(LEFT(A380,SEARCH("+",A380)-1),'Offensive Data'!$A$2:$A$134,'Offensive Data'!$D$2:$X$134)</f>
        <v>20.7</v>
      </c>
      <c r="D380" s="1">
        <v>31.7</v>
      </c>
      <c r="E380" s="1">
        <v>65.3</v>
      </c>
      <c r="F380" s="1">
        <v>237.5</v>
      </c>
      <c r="G380" s="1">
        <v>1.3</v>
      </c>
      <c r="H380" s="1">
        <v>37.8</v>
      </c>
      <c r="I380" s="1">
        <v>187.0</v>
      </c>
      <c r="J380" s="1">
        <v>5.0</v>
      </c>
      <c r="K380" s="1">
        <v>2.2</v>
      </c>
      <c r="L380" s="1">
        <v>69.5</v>
      </c>
      <c r="M380" s="1">
        <v>424.5</v>
      </c>
      <c r="N380" s="1">
        <v>6.1</v>
      </c>
      <c r="O380" s="1">
        <v>10.6</v>
      </c>
      <c r="P380" s="1">
        <v>9.7</v>
      </c>
      <c r="Q380" s="1">
        <v>1.3</v>
      </c>
      <c r="R380" s="1">
        <v>21.6</v>
      </c>
      <c r="S380" s="1">
        <v>5.4</v>
      </c>
      <c r="T380" s="1">
        <v>43.3</v>
      </c>
      <c r="U380" s="1">
        <v>0.2</v>
      </c>
      <c r="V380" s="1">
        <v>0.5</v>
      </c>
      <c r="W380" s="1">
        <v>0.8</v>
      </c>
      <c r="X380" s="1">
        <f t="array" ref="X380:AR380">XLOOKUP(MID(A380, SEARCH("+++", A380) + 3, LEN(A380)),'Defensive Data'!$A$2:$A$134,'Defensive Data'!$D$2:$X$134)</f>
        <v>18.9</v>
      </c>
      <c r="Y380" s="1">
        <v>32.6</v>
      </c>
      <c r="Z380" s="1">
        <v>58.0</v>
      </c>
      <c r="AA380" s="1">
        <v>213.5</v>
      </c>
      <c r="AB380" s="1">
        <v>1.5</v>
      </c>
      <c r="AC380" s="1">
        <v>39.9</v>
      </c>
      <c r="AD380" s="1">
        <v>149.6</v>
      </c>
      <c r="AE380" s="1">
        <v>3.7</v>
      </c>
      <c r="AF380" s="1">
        <v>1.2</v>
      </c>
      <c r="AG380" s="1">
        <v>72.5</v>
      </c>
      <c r="AH380" s="1">
        <v>363.1</v>
      </c>
      <c r="AI380" s="1">
        <v>5.0</v>
      </c>
      <c r="AJ380" s="1">
        <v>9.5</v>
      </c>
      <c r="AK380" s="1">
        <v>8.7</v>
      </c>
      <c r="AL380" s="1">
        <v>2.2</v>
      </c>
      <c r="AM380" s="1">
        <v>20.3</v>
      </c>
      <c r="AN380" s="1">
        <v>6.7</v>
      </c>
      <c r="AO380" s="1">
        <v>58.1</v>
      </c>
      <c r="AP380" s="1">
        <v>1.1</v>
      </c>
      <c r="AQ380" s="1">
        <v>1.0</v>
      </c>
      <c r="AR380" s="1">
        <v>2.1</v>
      </c>
    </row>
    <row r="381" ht="15.75" customHeight="1">
      <c r="A381" s="1" t="str">
        <f>CONCATENATE(Scores!A381,"+++",Scores!C381)</f>
        <v> Indiana+++Northwestern</v>
      </c>
      <c r="B381" s="1">
        <f>Scores!B381</f>
        <v>41</v>
      </c>
      <c r="C381" s="1" t="str">
        <f t="array" ref="C381">XLOOKUP(LEFT(A381,SEARCH("+",A381)-1),'Offensive Data'!$A$2:$A$134,'Offensive Data'!$D$2:$X$134)</f>
        <v>#N/A</v>
      </c>
      <c r="X381" s="1">
        <f t="array" ref="X381:AR381">XLOOKUP(MID(A381, SEARCH("+++", A381) + 3, LEN(A381)),'Defensive Data'!$A$2:$A$134,'Defensive Data'!$D$2:$X$134)</f>
        <v>20.4</v>
      </c>
      <c r="Y381" s="1">
        <v>32.6</v>
      </c>
      <c r="Z381" s="1">
        <v>62.7</v>
      </c>
      <c r="AA381" s="1">
        <v>231.8</v>
      </c>
      <c r="AB381" s="1">
        <v>1.3</v>
      </c>
      <c r="AC381" s="1">
        <v>32.5</v>
      </c>
      <c r="AD381" s="1">
        <v>129.9</v>
      </c>
      <c r="AE381" s="1">
        <v>4.0</v>
      </c>
      <c r="AF381" s="1">
        <v>1.8</v>
      </c>
      <c r="AG381" s="1">
        <v>65.1</v>
      </c>
      <c r="AH381" s="1">
        <v>361.8</v>
      </c>
      <c r="AI381" s="1">
        <v>5.6</v>
      </c>
      <c r="AJ381" s="1">
        <v>10.8</v>
      </c>
      <c r="AK381" s="1">
        <v>7.4</v>
      </c>
      <c r="AL381" s="1">
        <v>0.8</v>
      </c>
      <c r="AM381" s="1">
        <v>19.1</v>
      </c>
      <c r="AN381" s="1">
        <v>3.8</v>
      </c>
      <c r="AO381" s="1">
        <v>32.2</v>
      </c>
      <c r="AP381" s="1">
        <v>0.5</v>
      </c>
      <c r="AQ381" s="1">
        <v>0.8</v>
      </c>
      <c r="AR381" s="1">
        <v>1.3</v>
      </c>
    </row>
    <row r="382" ht="15.75" customHeight="1">
      <c r="A382" s="1" t="str">
        <f>CONCATENATE(Scores!A382,"+++",Scores!C382)</f>
        <v> Iowa State+++Baylor</v>
      </c>
      <c r="B382" s="1">
        <f>Scores!B382</f>
        <v>43</v>
      </c>
      <c r="C382" s="1" t="str">
        <f t="array" ref="C382">XLOOKUP(LEFT(A382,SEARCH("+",A382)-1),'Offensive Data'!$A$2:$A$134,'Offensive Data'!$D$2:$X$134)</f>
        <v>#N/A</v>
      </c>
      <c r="X382" s="1">
        <f t="array" ref="X382:AR382">XLOOKUP(MID(A382, SEARCH("+++", A382) + 3, LEN(A382)),'Defensive Data'!$A$2:$A$134,'Defensive Data'!$D$2:$X$134)</f>
        <v>18.2</v>
      </c>
      <c r="Y382" s="1">
        <v>30.2</v>
      </c>
      <c r="Z382" s="1">
        <v>60.3</v>
      </c>
      <c r="AA382" s="1">
        <v>234.2</v>
      </c>
      <c r="AB382" s="1">
        <v>1.7</v>
      </c>
      <c r="AC382" s="1">
        <v>37.8</v>
      </c>
      <c r="AD382" s="1">
        <v>152.0</v>
      </c>
      <c r="AE382" s="1">
        <v>4.0</v>
      </c>
      <c r="AF382" s="1">
        <v>1.2</v>
      </c>
      <c r="AG382" s="1">
        <v>68.0</v>
      </c>
      <c r="AH382" s="1">
        <v>386.2</v>
      </c>
      <c r="AI382" s="1">
        <v>5.7</v>
      </c>
      <c r="AJ382" s="1">
        <v>10.3</v>
      </c>
      <c r="AK382" s="1">
        <v>8.0</v>
      </c>
      <c r="AL382" s="1">
        <v>2.2</v>
      </c>
      <c r="AM382" s="1">
        <v>20.5</v>
      </c>
      <c r="AN382" s="1">
        <v>5.6</v>
      </c>
      <c r="AO382" s="1">
        <v>49.8</v>
      </c>
      <c r="AP382" s="1">
        <v>0.5</v>
      </c>
      <c r="AQ382" s="1">
        <v>1.1</v>
      </c>
      <c r="AR382" s="1">
        <v>1.6</v>
      </c>
    </row>
    <row r="383" ht="15.75" customHeight="1">
      <c r="A383" s="1" t="str">
        <f>CONCATENATE(Scores!A383,"+++",Scores!C383)</f>
        <v>Louisiana+++Southern Mississippi</v>
      </c>
      <c r="B383" s="1">
        <f>Scores!B383</f>
        <v>23</v>
      </c>
      <c r="C383" s="1">
        <f t="array" ref="C383:W383">XLOOKUP(LEFT(A383,SEARCH("+",A383)-1),'Offensive Data'!$A$2:$A$134,'Offensive Data'!$D$2:$X$134)</f>
        <v>19.2</v>
      </c>
      <c r="D383" s="1">
        <v>29.4</v>
      </c>
      <c r="E383" s="1">
        <v>65.3</v>
      </c>
      <c r="F383" s="1">
        <v>248.7</v>
      </c>
      <c r="G383" s="1">
        <v>1.6</v>
      </c>
      <c r="H383" s="1">
        <v>34.6</v>
      </c>
      <c r="I383" s="1">
        <v>166.4</v>
      </c>
      <c r="J383" s="1">
        <v>4.8</v>
      </c>
      <c r="K383" s="1">
        <v>1.9</v>
      </c>
      <c r="L383" s="1">
        <v>64.0</v>
      </c>
      <c r="M383" s="1">
        <v>415.1</v>
      </c>
      <c r="N383" s="1">
        <v>6.5</v>
      </c>
      <c r="O383" s="1">
        <v>10.7</v>
      </c>
      <c r="P383" s="1">
        <v>8.1</v>
      </c>
      <c r="Q383" s="1">
        <v>1.9</v>
      </c>
      <c r="R383" s="1">
        <v>20.7</v>
      </c>
      <c r="S383" s="1">
        <v>5.9</v>
      </c>
      <c r="T383" s="1">
        <v>48.8</v>
      </c>
      <c r="U383" s="1">
        <v>0.1</v>
      </c>
      <c r="V383" s="1">
        <v>0.6</v>
      </c>
      <c r="W383" s="1">
        <v>0.8</v>
      </c>
      <c r="X383" s="1">
        <f t="array" ref="X383:AR383">XLOOKUP(MID(A383, SEARCH("+++", A383) + 3, LEN(A383)),'Defensive Data'!$A$2:$A$134,'Defensive Data'!$D$2:$X$134)</f>
        <v>17.4</v>
      </c>
      <c r="Y383" s="1">
        <v>26.8</v>
      </c>
      <c r="Z383" s="1">
        <v>65.1</v>
      </c>
      <c r="AA383" s="1">
        <v>216.5</v>
      </c>
      <c r="AB383" s="1">
        <v>2.0</v>
      </c>
      <c r="AC383" s="1">
        <v>39.5</v>
      </c>
      <c r="AD383" s="1">
        <v>232.7</v>
      </c>
      <c r="AE383" s="1">
        <v>5.9</v>
      </c>
      <c r="AF383" s="1">
        <v>2.6</v>
      </c>
      <c r="AG383" s="1">
        <v>66.3</v>
      </c>
      <c r="AH383" s="1">
        <v>449.2</v>
      </c>
      <c r="AI383" s="1">
        <v>6.8</v>
      </c>
      <c r="AJ383" s="1">
        <v>9.7</v>
      </c>
      <c r="AK383" s="1">
        <v>10.9</v>
      </c>
      <c r="AL383" s="1">
        <v>1.2</v>
      </c>
      <c r="AM383" s="1">
        <v>21.8</v>
      </c>
      <c r="AN383" s="1">
        <v>6.2</v>
      </c>
      <c r="AO383" s="1">
        <v>54.9</v>
      </c>
      <c r="AP383" s="1">
        <v>0.3</v>
      </c>
      <c r="AQ383" s="1">
        <v>0.5</v>
      </c>
      <c r="AR383" s="1">
        <v>0.8</v>
      </c>
    </row>
    <row r="384" ht="15.75" customHeight="1">
      <c r="A384" s="1" t="str">
        <f>CONCATENATE(Scores!A384,"+++",Scores!C384)</f>
        <v>Louisiana-Monroe+++James Madison</v>
      </c>
      <c r="B384" s="1">
        <f>Scores!B384</f>
        <v>21</v>
      </c>
      <c r="C384" s="1">
        <f t="array" ref="C384:W384">XLOOKUP(LEFT(A384,SEARCH("+",A384)-1),'Offensive Data'!$A$2:$A$134,'Offensive Data'!$D$2:$X$134)</f>
        <v>11.2</v>
      </c>
      <c r="D384" s="1">
        <v>20.5</v>
      </c>
      <c r="E384" s="1">
        <v>54.5</v>
      </c>
      <c r="F384" s="1">
        <v>134.8</v>
      </c>
      <c r="G384" s="1">
        <v>0.9</v>
      </c>
      <c r="H384" s="1">
        <v>38.0</v>
      </c>
      <c r="I384" s="1">
        <v>169.7</v>
      </c>
      <c r="J384" s="1">
        <v>4.5</v>
      </c>
      <c r="K384" s="1">
        <v>1.4</v>
      </c>
      <c r="L384" s="1">
        <v>58.5</v>
      </c>
      <c r="M384" s="1">
        <v>304.4</v>
      </c>
      <c r="N384" s="1">
        <v>5.2</v>
      </c>
      <c r="O384" s="1">
        <v>5.6</v>
      </c>
      <c r="P384" s="1">
        <v>8.3</v>
      </c>
      <c r="Q384" s="1">
        <v>1.6</v>
      </c>
      <c r="R384" s="1">
        <v>15.4</v>
      </c>
      <c r="S384" s="1">
        <v>5.9</v>
      </c>
      <c r="T384" s="1">
        <v>43.3</v>
      </c>
      <c r="U384" s="1">
        <v>0.3</v>
      </c>
      <c r="V384" s="1">
        <v>1.0</v>
      </c>
      <c r="W384" s="1">
        <v>1.3</v>
      </c>
      <c r="X384" s="1">
        <f t="array" ref="X384:AR384">XLOOKUP(MID(A384, SEARCH("+++", A384) + 3, LEN(A384)),'Defensive Data'!$A$2:$A$134,'Defensive Data'!$D$2:$X$134)</f>
        <v>18</v>
      </c>
      <c r="Y384" s="1">
        <v>33.0</v>
      </c>
      <c r="Z384" s="1">
        <v>54.5</v>
      </c>
      <c r="AA384" s="1">
        <v>206.5</v>
      </c>
      <c r="AB384" s="1">
        <v>1.2</v>
      </c>
      <c r="AC384" s="1">
        <v>33.1</v>
      </c>
      <c r="AD384" s="1">
        <v>115.4</v>
      </c>
      <c r="AE384" s="1">
        <v>3.5</v>
      </c>
      <c r="AF384" s="1">
        <v>1.0</v>
      </c>
      <c r="AG384" s="1">
        <v>66.1</v>
      </c>
      <c r="AH384" s="1">
        <v>321.8</v>
      </c>
      <c r="AI384" s="1">
        <v>4.9</v>
      </c>
      <c r="AJ384" s="1">
        <v>9.4</v>
      </c>
      <c r="AK384" s="1">
        <v>6.6</v>
      </c>
      <c r="AL384" s="1">
        <v>1.5</v>
      </c>
      <c r="AM384" s="1">
        <v>17.5</v>
      </c>
      <c r="AN384" s="1">
        <v>5.2</v>
      </c>
      <c r="AO384" s="1">
        <v>45.2</v>
      </c>
      <c r="AP384" s="1">
        <v>0.9</v>
      </c>
      <c r="AQ384" s="1">
        <v>1.3</v>
      </c>
      <c r="AR384" s="1">
        <v>2.2</v>
      </c>
    </row>
    <row r="385" ht="15.75" customHeight="1">
      <c r="A385" s="1" t="str">
        <f>CONCATENATE(Scores!A385,"+++",Scores!C385)</f>
        <v>Marshall+++Appalachian State</v>
      </c>
      <c r="B385" s="1">
        <f>Scores!B385</f>
        <v>52</v>
      </c>
      <c r="C385" s="1">
        <f t="array" ref="C385:W385">XLOOKUP(LEFT(A385,SEARCH("+",A385)-1),'Offensive Data'!$A$2:$A$134,'Offensive Data'!$D$2:$X$134)</f>
        <v>14.9</v>
      </c>
      <c r="D385" s="1">
        <v>25.6</v>
      </c>
      <c r="E385" s="1">
        <v>58.3</v>
      </c>
      <c r="F385" s="1">
        <v>181.1</v>
      </c>
      <c r="G385" s="1">
        <v>2.1</v>
      </c>
      <c r="H385" s="1">
        <v>39.2</v>
      </c>
      <c r="I385" s="1">
        <v>201.7</v>
      </c>
      <c r="J385" s="1">
        <v>5.2</v>
      </c>
      <c r="K385" s="1">
        <v>1.6</v>
      </c>
      <c r="L385" s="1">
        <v>64.8</v>
      </c>
      <c r="M385" s="1">
        <v>382.8</v>
      </c>
      <c r="N385" s="1">
        <v>5.9</v>
      </c>
      <c r="O385" s="1">
        <v>7.8</v>
      </c>
      <c r="P385" s="1">
        <v>10.5</v>
      </c>
      <c r="Q385" s="1">
        <v>1.6</v>
      </c>
      <c r="R385" s="1">
        <v>19.8</v>
      </c>
      <c r="S385" s="1">
        <v>5.4</v>
      </c>
      <c r="T385" s="1">
        <v>43.5</v>
      </c>
      <c r="U385" s="1">
        <v>0.5</v>
      </c>
      <c r="V385" s="1">
        <v>0.3</v>
      </c>
      <c r="W385" s="1">
        <v>0.8</v>
      </c>
      <c r="X385" s="1">
        <f t="array" ref="X385:AR385">XLOOKUP(MID(A385, SEARCH("+++", A385) + 3, LEN(A385)),'Defensive Data'!$A$2:$A$134,'Defensive Data'!$D$2:$X$134)</f>
        <v>17.6</v>
      </c>
      <c r="Y385" s="1">
        <v>25.6</v>
      </c>
      <c r="Z385" s="1">
        <v>68.8</v>
      </c>
      <c r="AA385" s="1">
        <v>214.8</v>
      </c>
      <c r="AB385" s="1">
        <v>1.8</v>
      </c>
      <c r="AC385" s="1">
        <v>37.4</v>
      </c>
      <c r="AD385" s="1">
        <v>197.6</v>
      </c>
      <c r="AE385" s="1">
        <v>5.3</v>
      </c>
      <c r="AF385" s="1">
        <v>2.2</v>
      </c>
      <c r="AG385" s="1">
        <v>63.0</v>
      </c>
      <c r="AH385" s="1">
        <v>412.5</v>
      </c>
      <c r="AI385" s="1">
        <v>6.5</v>
      </c>
      <c r="AJ385" s="1">
        <v>8.7</v>
      </c>
      <c r="AK385" s="1">
        <v>10.7</v>
      </c>
      <c r="AL385" s="1">
        <v>2.0</v>
      </c>
      <c r="AM385" s="1">
        <v>21.5</v>
      </c>
      <c r="AN385" s="1">
        <v>7.0</v>
      </c>
      <c r="AO385" s="1">
        <v>63.8</v>
      </c>
      <c r="AP385" s="1">
        <v>0.8</v>
      </c>
      <c r="AQ385" s="1">
        <v>0.4</v>
      </c>
      <c r="AR385" s="1">
        <v>1.2</v>
      </c>
    </row>
    <row r="386" ht="15.75" customHeight="1">
      <c r="A386" s="1" t="str">
        <f>CONCATENATE(Scores!A386,"+++",Scores!C386)</f>
        <v> Miami (FL)+++California</v>
      </c>
      <c r="B386" s="1">
        <f>Scores!B386</f>
        <v>39</v>
      </c>
      <c r="C386" s="1" t="str">
        <f t="array" ref="C386">XLOOKUP(LEFT(A386,SEARCH("+",A386)-1),'Offensive Data'!$A$2:$A$134,'Offensive Data'!$D$2:$X$134)</f>
        <v>#N/A</v>
      </c>
      <c r="X386" s="1">
        <f t="array" ref="X386:AR386">XLOOKUP(MID(A386, SEARCH("+++", A386) + 3, LEN(A386)),'Defensive Data'!$A$2:$A$134,'Defensive Data'!$D$2:$X$134)</f>
        <v>19.2</v>
      </c>
      <c r="Y386" s="1">
        <v>34.0</v>
      </c>
      <c r="Z386" s="1">
        <v>56.6</v>
      </c>
      <c r="AA386" s="1">
        <v>227.6</v>
      </c>
      <c r="AB386" s="1">
        <v>1.3</v>
      </c>
      <c r="AC386" s="1">
        <v>33.6</v>
      </c>
      <c r="AD386" s="1">
        <v>109.8</v>
      </c>
      <c r="AE386" s="1">
        <v>3.3</v>
      </c>
      <c r="AF386" s="1">
        <v>1.5</v>
      </c>
      <c r="AG386" s="1">
        <v>67.6</v>
      </c>
      <c r="AH386" s="1">
        <v>337.5</v>
      </c>
      <c r="AI386" s="1">
        <v>5.0</v>
      </c>
      <c r="AJ386" s="1">
        <v>10.8</v>
      </c>
      <c r="AK386" s="1">
        <v>5.7</v>
      </c>
      <c r="AL386" s="1">
        <v>1.8</v>
      </c>
      <c r="AM386" s="1">
        <v>18.3</v>
      </c>
      <c r="AN386" s="1">
        <v>6.6</v>
      </c>
      <c r="AO386" s="1">
        <v>60.3</v>
      </c>
      <c r="AP386" s="1">
        <v>0.4</v>
      </c>
      <c r="AQ386" s="1">
        <v>1.3</v>
      </c>
      <c r="AR386" s="1">
        <v>1.7</v>
      </c>
    </row>
    <row r="387" ht="15.75" customHeight="1">
      <c r="A387" s="1" t="str">
        <f>CONCATENATE(Scores!A387,"+++",Scores!C387)</f>
        <v>Minnesota+++ Southern California</v>
      </c>
      <c r="B387" s="1">
        <f>Scores!B387</f>
        <v>24</v>
      </c>
      <c r="C387" s="1">
        <f t="array" ref="C387:W387">XLOOKUP(LEFT(A387,SEARCH("+",A387)-1),'Offensive Data'!$A$2:$A$134,'Offensive Data'!$D$2:$X$134)</f>
        <v>21</v>
      </c>
      <c r="D387" s="1">
        <v>31.7</v>
      </c>
      <c r="E387" s="1">
        <v>66.3</v>
      </c>
      <c r="F387" s="1">
        <v>222.2</v>
      </c>
      <c r="G387" s="1">
        <v>1.5</v>
      </c>
      <c r="H387" s="1">
        <v>31.1</v>
      </c>
      <c r="I387" s="1">
        <v>115.6</v>
      </c>
      <c r="J387" s="1">
        <v>3.7</v>
      </c>
      <c r="K387" s="1">
        <v>1.4</v>
      </c>
      <c r="L387" s="1">
        <v>62.8</v>
      </c>
      <c r="M387" s="1">
        <v>337.8</v>
      </c>
      <c r="N387" s="1">
        <v>5.4</v>
      </c>
      <c r="O387" s="1">
        <v>11.0</v>
      </c>
      <c r="P387" s="1">
        <v>7.2</v>
      </c>
      <c r="Q387" s="1">
        <v>2.2</v>
      </c>
      <c r="R387" s="1">
        <v>20.4</v>
      </c>
      <c r="S387" s="1">
        <v>4.8</v>
      </c>
      <c r="T387" s="1">
        <v>37.5</v>
      </c>
      <c r="U387" s="1">
        <v>0.5</v>
      </c>
      <c r="V387" s="1">
        <v>0.5</v>
      </c>
      <c r="W387" s="1">
        <v>0.9</v>
      </c>
      <c r="X387" s="1" t="str">
        <f t="array" ref="X387">XLOOKUP(MID(A387, SEARCH("+++", A387) + 3, LEN(A387)),'Defensive Data'!$A$2:$A$134,'Defensive Data'!$D$2:$X$134)</f>
        <v>#N/A</v>
      </c>
    </row>
    <row r="388" ht="15.75" customHeight="1">
      <c r="A388" s="1" t="str">
        <f>CONCATENATE(Scores!A388,"+++",Scores!C388)</f>
        <v> Mississippi+++South Carolina</v>
      </c>
      <c r="B388" s="1">
        <f>Scores!B388</f>
        <v>27</v>
      </c>
      <c r="C388" s="1" t="str">
        <f t="array" ref="C388">XLOOKUP(LEFT(A388,SEARCH("+",A388)-1),'Offensive Data'!$A$2:$A$134,'Offensive Data'!$D$2:$X$134)</f>
        <v>#N/A</v>
      </c>
      <c r="X388" s="1">
        <f t="array" ref="X388:AR388">XLOOKUP(MID(A388, SEARCH("+++", A388) + 3, LEN(A388)),'Defensive Data'!$A$2:$A$134,'Defensive Data'!$D$2:$X$134)</f>
        <v>17.6</v>
      </c>
      <c r="Y388" s="1">
        <v>30.5</v>
      </c>
      <c r="Z388" s="1">
        <v>57.7</v>
      </c>
      <c r="AA388" s="1">
        <v>204.4</v>
      </c>
      <c r="AB388" s="1">
        <v>0.8</v>
      </c>
      <c r="AC388" s="1">
        <v>34.9</v>
      </c>
      <c r="AD388" s="1">
        <v>112.2</v>
      </c>
      <c r="AE388" s="1">
        <v>3.2</v>
      </c>
      <c r="AF388" s="1">
        <v>1.4</v>
      </c>
      <c r="AG388" s="1">
        <v>65.5</v>
      </c>
      <c r="AH388" s="1">
        <v>316.6</v>
      </c>
      <c r="AI388" s="1">
        <v>4.8</v>
      </c>
      <c r="AJ388" s="1">
        <v>9.1</v>
      </c>
      <c r="AK388" s="1">
        <v>7.3</v>
      </c>
      <c r="AL388" s="1">
        <v>1.7</v>
      </c>
      <c r="AM388" s="1">
        <v>18.1</v>
      </c>
      <c r="AN388" s="1">
        <v>5.9</v>
      </c>
      <c r="AO388" s="1">
        <v>49.6</v>
      </c>
      <c r="AP388" s="1">
        <v>0.8</v>
      </c>
      <c r="AQ388" s="1">
        <v>1.1</v>
      </c>
      <c r="AR388" s="1">
        <v>1.8</v>
      </c>
    </row>
    <row r="389" ht="15.75" customHeight="1">
      <c r="A389" s="1" t="str">
        <f>CONCATENATE(Scores!A389,"+++",Scores!C389)</f>
        <v>Navy+++Air Force</v>
      </c>
      <c r="B389" s="1">
        <f>Scores!B389</f>
        <v>34</v>
      </c>
      <c r="C389" s="1">
        <f t="array" ref="C389:W389">XLOOKUP(LEFT(A389,SEARCH("+",A389)-1),'Offensive Data'!$A$2:$A$134,'Offensive Data'!$D$2:$X$134)</f>
        <v>7.6</v>
      </c>
      <c r="D389" s="1">
        <v>13.8</v>
      </c>
      <c r="E389" s="1">
        <v>55.3</v>
      </c>
      <c r="F389" s="1">
        <v>123.8</v>
      </c>
      <c r="G389" s="1">
        <v>1.2</v>
      </c>
      <c r="H389" s="1">
        <v>45.5</v>
      </c>
      <c r="I389" s="1">
        <v>247.5</v>
      </c>
      <c r="J389" s="1">
        <v>5.4</v>
      </c>
      <c r="K389" s="1">
        <v>2.9</v>
      </c>
      <c r="L389" s="1">
        <v>59.3</v>
      </c>
      <c r="M389" s="1">
        <v>371.3</v>
      </c>
      <c r="N389" s="1">
        <v>6.3</v>
      </c>
      <c r="O389" s="1">
        <v>4.8</v>
      </c>
      <c r="P389" s="1">
        <v>11.4</v>
      </c>
      <c r="Q389" s="1">
        <v>0.8</v>
      </c>
      <c r="R389" s="1">
        <v>17.0</v>
      </c>
      <c r="S389" s="1">
        <v>5.1</v>
      </c>
      <c r="T389" s="1">
        <v>45.0</v>
      </c>
      <c r="U389" s="1">
        <v>0.6</v>
      </c>
      <c r="V389" s="1">
        <v>0.5</v>
      </c>
      <c r="W389" s="1">
        <v>1.1</v>
      </c>
      <c r="X389" s="1">
        <f t="array" ref="X389:AR389">XLOOKUP(MID(A389, SEARCH("+++", A389) + 3, LEN(A389)),'Defensive Data'!$A$2:$A$134,'Defensive Data'!$D$2:$X$134)</f>
        <v>15.6</v>
      </c>
      <c r="Y389" s="1">
        <v>24.1</v>
      </c>
      <c r="Z389" s="1">
        <v>64.7</v>
      </c>
      <c r="AA389" s="1">
        <v>188.5</v>
      </c>
      <c r="AB389" s="1">
        <v>1.0</v>
      </c>
      <c r="AC389" s="1">
        <v>33.6</v>
      </c>
      <c r="AD389" s="1">
        <v>153.4</v>
      </c>
      <c r="AE389" s="1">
        <v>4.6</v>
      </c>
      <c r="AF389" s="1">
        <v>1.9</v>
      </c>
      <c r="AG389" s="1">
        <v>57.7</v>
      </c>
      <c r="AH389" s="1">
        <v>341.9</v>
      </c>
      <c r="AI389" s="1">
        <v>5.9</v>
      </c>
      <c r="AJ389" s="1">
        <v>8.5</v>
      </c>
      <c r="AK389" s="1">
        <v>7.4</v>
      </c>
      <c r="AL389" s="1">
        <v>1.1</v>
      </c>
      <c r="AM389" s="1">
        <v>17.0</v>
      </c>
      <c r="AN389" s="1">
        <v>5.3</v>
      </c>
      <c r="AO389" s="1">
        <v>48.4</v>
      </c>
      <c r="AP389" s="1">
        <v>0.7</v>
      </c>
      <c r="AQ389" s="1">
        <v>0.3</v>
      </c>
      <c r="AR389" s="1">
        <v>1.0</v>
      </c>
    </row>
    <row r="390" ht="15.75" customHeight="1">
      <c r="A390" s="1" t="str">
        <f>CONCATENATE(Scores!A390,"+++",Scores!C390)</f>
        <v>Nebraska+++Rutgers</v>
      </c>
      <c r="B390" s="1">
        <f>Scores!B390</f>
        <v>14</v>
      </c>
      <c r="C390" s="1">
        <f t="array" ref="C390:W390">XLOOKUP(LEFT(A390,SEARCH("+",A390)-1),'Offensive Data'!$A$2:$A$134,'Offensive Data'!$D$2:$X$134)</f>
        <v>22.2</v>
      </c>
      <c r="D390" s="1">
        <v>33.5</v>
      </c>
      <c r="E390" s="1">
        <v>66.2</v>
      </c>
      <c r="F390" s="1">
        <v>228.4</v>
      </c>
      <c r="G390" s="1">
        <v>1.0</v>
      </c>
      <c r="H390" s="1">
        <v>34.5</v>
      </c>
      <c r="I390" s="1">
        <v>130.6</v>
      </c>
      <c r="J390" s="1">
        <v>3.8</v>
      </c>
      <c r="K390" s="1">
        <v>1.7</v>
      </c>
      <c r="L390" s="1">
        <v>67.9</v>
      </c>
      <c r="M390" s="1">
        <v>359.0</v>
      </c>
      <c r="N390" s="1">
        <v>5.3</v>
      </c>
      <c r="O390" s="1">
        <v>10.5</v>
      </c>
      <c r="P390" s="1">
        <v>8.4</v>
      </c>
      <c r="Q390" s="1">
        <v>2.8</v>
      </c>
      <c r="R390" s="1">
        <v>21.8</v>
      </c>
      <c r="S390" s="1">
        <v>6.2</v>
      </c>
      <c r="T390" s="1">
        <v>53.2</v>
      </c>
      <c r="U390" s="1">
        <v>0.5</v>
      </c>
      <c r="V390" s="1">
        <v>0.9</v>
      </c>
      <c r="W390" s="1">
        <v>1.5</v>
      </c>
      <c r="X390" s="1">
        <f t="array" ref="X390:AR390">XLOOKUP(MID(A390, SEARCH("+++", A390) + 3, LEN(A390)),'Defensive Data'!$A$2:$A$134,'Defensive Data'!$D$2:$X$134)</f>
        <v>19.7</v>
      </c>
      <c r="Y390" s="1">
        <v>32.8</v>
      </c>
      <c r="Z390" s="1">
        <v>60.0</v>
      </c>
      <c r="AA390" s="1">
        <v>231.1</v>
      </c>
      <c r="AB390" s="1">
        <v>1.4</v>
      </c>
      <c r="AC390" s="1">
        <v>31.2</v>
      </c>
      <c r="AD390" s="1">
        <v>162.8</v>
      </c>
      <c r="AE390" s="1">
        <v>5.2</v>
      </c>
      <c r="AF390" s="1">
        <v>2.0</v>
      </c>
      <c r="AG390" s="1">
        <v>64.1</v>
      </c>
      <c r="AH390" s="1">
        <v>393.8</v>
      </c>
      <c r="AI390" s="1">
        <v>6.1</v>
      </c>
      <c r="AJ390" s="1">
        <v>9.8</v>
      </c>
      <c r="AK390" s="1">
        <v>8.3</v>
      </c>
      <c r="AL390" s="1">
        <v>1.5</v>
      </c>
      <c r="AM390" s="1">
        <v>19.7</v>
      </c>
      <c r="AN390" s="1">
        <v>6.5</v>
      </c>
      <c r="AO390" s="1">
        <v>52.5</v>
      </c>
      <c r="AP390" s="1">
        <v>0.4</v>
      </c>
      <c r="AQ390" s="1">
        <v>0.6</v>
      </c>
      <c r="AR390" s="1">
        <v>1.0</v>
      </c>
    </row>
    <row r="391" ht="15.75" customHeight="1">
      <c r="A391" s="1" t="str">
        <f>CONCATENATE(Scores!A391,"+++",Scores!C391)</f>
        <v>Northern Illinois+++Massachusetts</v>
      </c>
      <c r="B391" s="1">
        <f>Scores!B391</f>
        <v>34</v>
      </c>
      <c r="C391" s="1">
        <f t="array" ref="C391:W391">XLOOKUP(LEFT(A391,SEARCH("+",A391)-1),'Offensive Data'!$A$2:$A$134,'Offensive Data'!$D$2:$X$134)</f>
        <v>16.6</v>
      </c>
      <c r="D391" s="1">
        <v>28.5</v>
      </c>
      <c r="E391" s="1">
        <v>58.2</v>
      </c>
      <c r="F391" s="1">
        <v>178.5</v>
      </c>
      <c r="G391" s="1">
        <v>1.2</v>
      </c>
      <c r="H391" s="1">
        <v>43.2</v>
      </c>
      <c r="I391" s="1">
        <v>203.8</v>
      </c>
      <c r="J391" s="1">
        <v>4.7</v>
      </c>
      <c r="K391" s="1">
        <v>1.7</v>
      </c>
      <c r="L391" s="1">
        <v>71.8</v>
      </c>
      <c r="M391" s="1">
        <v>382.2</v>
      </c>
      <c r="N391" s="1">
        <v>5.3</v>
      </c>
      <c r="O391" s="1">
        <v>8.8</v>
      </c>
      <c r="P391" s="1">
        <v>10.5</v>
      </c>
      <c r="Q391" s="1">
        <v>2.1</v>
      </c>
      <c r="R391" s="1">
        <v>21.5</v>
      </c>
      <c r="S391" s="1">
        <v>4.2</v>
      </c>
      <c r="T391" s="1">
        <v>42.8</v>
      </c>
      <c r="U391" s="1">
        <v>0.7</v>
      </c>
      <c r="V391" s="1">
        <v>0.6</v>
      </c>
      <c r="W391" s="1">
        <v>1.3</v>
      </c>
      <c r="X391" s="1">
        <f t="array" ref="X391:AR391">XLOOKUP(MID(A391, SEARCH("+++", A391) + 3, LEN(A391)),'Defensive Data'!$A$2:$A$134,'Defensive Data'!$D$2:$X$134)</f>
        <v>13</v>
      </c>
      <c r="Y391" s="1">
        <v>22.4</v>
      </c>
      <c r="Z391" s="1">
        <v>58.0</v>
      </c>
      <c r="AA391" s="1">
        <v>176.6</v>
      </c>
      <c r="AB391" s="1">
        <v>1.6</v>
      </c>
      <c r="AC391" s="1">
        <v>37.8</v>
      </c>
      <c r="AD391" s="1">
        <v>197.9</v>
      </c>
      <c r="AE391" s="1">
        <v>5.2</v>
      </c>
      <c r="AF391" s="1">
        <v>2.7</v>
      </c>
      <c r="AG391" s="1">
        <v>60.3</v>
      </c>
      <c r="AH391" s="1">
        <v>374.5</v>
      </c>
      <c r="AI391" s="1">
        <v>6.2</v>
      </c>
      <c r="AJ391" s="1">
        <v>7.4</v>
      </c>
      <c r="AK391" s="1">
        <v>10.6</v>
      </c>
      <c r="AL391" s="1">
        <v>2.3</v>
      </c>
      <c r="AM391" s="1">
        <v>20.3</v>
      </c>
      <c r="AN391" s="1">
        <v>6.0</v>
      </c>
      <c r="AO391" s="1">
        <v>53.3</v>
      </c>
      <c r="AP391" s="1">
        <v>0.3</v>
      </c>
      <c r="AQ391" s="1">
        <v>0.5</v>
      </c>
      <c r="AR391" s="1">
        <v>0.8</v>
      </c>
    </row>
    <row r="392" ht="15.75" customHeight="1">
      <c r="A392" s="1" t="str">
        <f>CONCATENATE(Scores!A392,"+++",Scores!C392)</f>
        <v> Ohio State+++Iowa</v>
      </c>
      <c r="B392" s="1">
        <f>Scores!B392</f>
        <v>35</v>
      </c>
      <c r="C392" s="1" t="str">
        <f t="array" ref="C392">XLOOKUP(LEFT(A392,SEARCH("+",A392)-1),'Offensive Data'!$A$2:$A$134,'Offensive Data'!$D$2:$X$134)</f>
        <v>#N/A</v>
      </c>
      <c r="X392" s="1">
        <f t="array" ref="X392:AR392">XLOOKUP(MID(A392, SEARCH("+++", A392) + 3, LEN(A392)),'Defensive Data'!$A$2:$A$134,'Defensive Data'!$D$2:$X$134)</f>
        <v>20</v>
      </c>
      <c r="Y392" s="1">
        <v>32.3</v>
      </c>
      <c r="Z392" s="1">
        <v>61.9</v>
      </c>
      <c r="AA392" s="1">
        <v>203.1</v>
      </c>
      <c r="AB392" s="1">
        <v>1.5</v>
      </c>
      <c r="AC392" s="1">
        <v>31.2</v>
      </c>
      <c r="AD392" s="1">
        <v>115.3</v>
      </c>
      <c r="AE392" s="1">
        <v>3.7</v>
      </c>
      <c r="AF392" s="1">
        <v>0.3</v>
      </c>
      <c r="AG392" s="1">
        <v>63.5</v>
      </c>
      <c r="AH392" s="1">
        <v>318.4</v>
      </c>
      <c r="AI392" s="1">
        <v>5.0</v>
      </c>
      <c r="AJ392" s="1">
        <v>9.5</v>
      </c>
      <c r="AK392" s="1">
        <v>7.2</v>
      </c>
      <c r="AL392" s="1">
        <v>1.1</v>
      </c>
      <c r="AM392" s="1">
        <v>17.7</v>
      </c>
      <c r="AN392" s="1">
        <v>5.7</v>
      </c>
      <c r="AO392" s="1">
        <v>44.7</v>
      </c>
      <c r="AP392" s="1">
        <v>0.6</v>
      </c>
      <c r="AQ392" s="1">
        <v>1.2</v>
      </c>
      <c r="AR392" s="1">
        <v>1.8</v>
      </c>
    </row>
    <row r="393" ht="15.75" customHeight="1">
      <c r="A393" s="1" t="str">
        <f>CONCATENATE(Scores!A393,"+++",Scores!C393)</f>
        <v>Oregon State+++Colorado State</v>
      </c>
      <c r="B393" s="1">
        <f>Scores!B393</f>
        <v>39</v>
      </c>
      <c r="C393" s="1">
        <f t="array" ref="C393:W393">XLOOKUP(LEFT(A393,SEARCH("+",A393)-1),'Offensive Data'!$A$2:$A$134,'Offensive Data'!$D$2:$X$134)</f>
        <v>18</v>
      </c>
      <c r="D393" s="1">
        <v>30.0</v>
      </c>
      <c r="E393" s="1">
        <v>60.0</v>
      </c>
      <c r="F393" s="1">
        <v>201.4</v>
      </c>
      <c r="G393" s="1">
        <v>0.6</v>
      </c>
      <c r="H393" s="1">
        <v>40.3</v>
      </c>
      <c r="I393" s="1">
        <v>189.2</v>
      </c>
      <c r="J393" s="1">
        <v>4.7</v>
      </c>
      <c r="K393" s="1">
        <v>2.4</v>
      </c>
      <c r="L393" s="1">
        <v>70.3</v>
      </c>
      <c r="M393" s="1">
        <v>390.6</v>
      </c>
      <c r="N393" s="1">
        <v>5.6</v>
      </c>
      <c r="O393" s="1">
        <v>9.2</v>
      </c>
      <c r="P393" s="1">
        <v>11.1</v>
      </c>
      <c r="Q393" s="1">
        <v>2.1</v>
      </c>
      <c r="R393" s="1">
        <v>22.3</v>
      </c>
      <c r="S393" s="1">
        <v>5.1</v>
      </c>
      <c r="T393" s="1">
        <v>45.7</v>
      </c>
      <c r="U393" s="1">
        <v>0.4</v>
      </c>
      <c r="V393" s="1">
        <v>0.9</v>
      </c>
      <c r="W393" s="1">
        <v>1.3</v>
      </c>
      <c r="X393" s="1">
        <f t="array" ref="X393:AR393">XLOOKUP(MID(A393, SEARCH("+++", A393) + 3, LEN(A393)),'Defensive Data'!$A$2:$A$134,'Defensive Data'!$D$2:$X$134)</f>
        <v>20.2</v>
      </c>
      <c r="Y393" s="1">
        <v>32.9</v>
      </c>
      <c r="Z393" s="1">
        <v>61.2</v>
      </c>
      <c r="AA393" s="1">
        <v>234.7</v>
      </c>
      <c r="AB393" s="1">
        <v>1.5</v>
      </c>
      <c r="AC393" s="1">
        <v>35.2</v>
      </c>
      <c r="AD393" s="1">
        <v>159.8</v>
      </c>
      <c r="AE393" s="1">
        <v>4.5</v>
      </c>
      <c r="AF393" s="1">
        <v>1.6</v>
      </c>
      <c r="AG393" s="1">
        <v>68.1</v>
      </c>
      <c r="AH393" s="1">
        <v>394.5</v>
      </c>
      <c r="AI393" s="1">
        <v>5.8</v>
      </c>
      <c r="AJ393" s="1">
        <v>10.4</v>
      </c>
      <c r="AK393" s="1">
        <v>7.8</v>
      </c>
      <c r="AL393" s="1">
        <v>1.8</v>
      </c>
      <c r="AM393" s="1">
        <v>20.0</v>
      </c>
      <c r="AN393" s="1">
        <v>6.7</v>
      </c>
      <c r="AO393" s="1">
        <v>56.2</v>
      </c>
      <c r="AP393" s="1">
        <v>0.8</v>
      </c>
      <c r="AQ393" s="1">
        <v>0.8</v>
      </c>
      <c r="AR393" s="1">
        <v>1.6</v>
      </c>
    </row>
    <row r="394" ht="15.75" customHeight="1">
      <c r="A394" s="1" t="str">
        <f>CONCATENATE(Scores!A394,"+++",Scores!C394)</f>
        <v> Penn State+++UCLA</v>
      </c>
      <c r="B394" s="1">
        <f>Scores!B394</f>
        <v>27</v>
      </c>
      <c r="C394" s="1" t="str">
        <f t="array" ref="C394">XLOOKUP(LEFT(A394,SEARCH("+",A394)-1),'Offensive Data'!$A$2:$A$134,'Offensive Data'!$D$2:$X$134)</f>
        <v>#N/A</v>
      </c>
      <c r="X394" s="1">
        <f t="array" ref="X394:AR394">XLOOKUP(MID(A394, SEARCH("+++", A394) + 3, LEN(A394)),'Defensive Data'!$A$2:$A$134,'Defensive Data'!$D$2:$X$134)</f>
        <v>22.4</v>
      </c>
      <c r="Y394" s="1">
        <v>34.3</v>
      </c>
      <c r="Z394" s="1">
        <v>65.5</v>
      </c>
      <c r="AA394" s="1">
        <v>244.7</v>
      </c>
      <c r="AB394" s="1">
        <v>1.6</v>
      </c>
      <c r="AC394" s="1">
        <v>28.8</v>
      </c>
      <c r="AD394" s="1">
        <v>96.2</v>
      </c>
      <c r="AE394" s="1">
        <v>3.3</v>
      </c>
      <c r="AF394" s="1">
        <v>1.4</v>
      </c>
      <c r="AG394" s="1">
        <v>63.0</v>
      </c>
      <c r="AH394" s="1">
        <v>340.8</v>
      </c>
      <c r="AI394" s="1">
        <v>5.4</v>
      </c>
      <c r="AJ394" s="1">
        <v>11.5</v>
      </c>
      <c r="AK394" s="1">
        <v>5.8</v>
      </c>
      <c r="AL394" s="1">
        <v>2.8</v>
      </c>
      <c r="AM394" s="1">
        <v>20.2</v>
      </c>
      <c r="AN394" s="1">
        <v>4.8</v>
      </c>
      <c r="AO394" s="1">
        <v>41.3</v>
      </c>
      <c r="AP394" s="1">
        <v>0.3</v>
      </c>
      <c r="AQ394" s="1">
        <v>0.8</v>
      </c>
      <c r="AR394" s="1">
        <v>1.1</v>
      </c>
    </row>
    <row r="395" ht="15.75" customHeight="1">
      <c r="A395" s="1" t="str">
        <f>CONCATENATE(Scores!A395,"+++",Scores!C395)</f>
        <v>Pittsburgh+++North Carolina</v>
      </c>
      <c r="B395" s="1">
        <f>Scores!B395</f>
        <v>34</v>
      </c>
      <c r="C395" s="1" t="str">
        <f t="array" ref="C395">XLOOKUP(LEFT(A395,SEARCH("+",A395)-1),'Offensive Data'!$A$2:$A$134,'Offensive Data'!$D$2:$X$134)</f>
        <v>#N/A</v>
      </c>
      <c r="X395" s="1">
        <f t="array" ref="X395:AR395">XLOOKUP(MID(A395, SEARCH("+++", A395) + 3, LEN(A395)),'Defensive Data'!$A$2:$A$134,'Defensive Data'!$D$2:$X$134)</f>
        <v>16.7</v>
      </c>
      <c r="Y395" s="1">
        <v>28.8</v>
      </c>
      <c r="Z395" s="1">
        <v>58.0</v>
      </c>
      <c r="AA395" s="1">
        <v>226.3</v>
      </c>
      <c r="AB395" s="1">
        <v>1.5</v>
      </c>
      <c r="AC395" s="1">
        <v>37.9</v>
      </c>
      <c r="AD395" s="1">
        <v>149.5</v>
      </c>
      <c r="AE395" s="1">
        <v>3.9</v>
      </c>
      <c r="AF395" s="1">
        <v>1.6</v>
      </c>
      <c r="AG395" s="1">
        <v>66.7</v>
      </c>
      <c r="AH395" s="1">
        <v>375.8</v>
      </c>
      <c r="AI395" s="1">
        <v>5.6</v>
      </c>
      <c r="AJ395" s="1">
        <v>8.5</v>
      </c>
      <c r="AK395" s="1">
        <v>8.8</v>
      </c>
      <c r="AL395" s="1">
        <v>2.1</v>
      </c>
      <c r="AM395" s="1">
        <v>19.5</v>
      </c>
      <c r="AN395" s="1">
        <v>6.7</v>
      </c>
      <c r="AO395" s="1">
        <v>59.4</v>
      </c>
      <c r="AP395" s="1">
        <v>0.5</v>
      </c>
      <c r="AQ395" s="1">
        <v>0.7</v>
      </c>
      <c r="AR395" s="1">
        <v>1.2</v>
      </c>
    </row>
    <row r="396" ht="15.75" customHeight="1">
      <c r="A396" s="1" t="str">
        <f>CONCATENATE(Scores!A396,"+++",Scores!C396)</f>
        <v>San Diego State+++Hawaii</v>
      </c>
      <c r="B396" s="1">
        <f>Scores!B396</f>
        <v>27</v>
      </c>
      <c r="C396" s="1">
        <f t="array" ref="C396:W396">XLOOKUP(LEFT(A396,SEARCH("+",A396)-1),'Offensive Data'!$A$2:$A$134,'Offensive Data'!$D$2:$X$134)</f>
        <v>19.5</v>
      </c>
      <c r="D396" s="1">
        <v>31.3</v>
      </c>
      <c r="E396" s="1">
        <v>62.4</v>
      </c>
      <c r="F396" s="1">
        <v>205.7</v>
      </c>
      <c r="G396" s="1">
        <v>1.3</v>
      </c>
      <c r="H396" s="1">
        <v>35.3</v>
      </c>
      <c r="I396" s="1">
        <v>128.9</v>
      </c>
      <c r="J396" s="1">
        <v>3.6</v>
      </c>
      <c r="K396" s="1">
        <v>1.1</v>
      </c>
      <c r="L396" s="1">
        <v>66.6</v>
      </c>
      <c r="M396" s="1">
        <v>334.6</v>
      </c>
      <c r="N396" s="1">
        <v>5.0</v>
      </c>
      <c r="O396" s="1">
        <v>9.5</v>
      </c>
      <c r="P396" s="1">
        <v>6.9</v>
      </c>
      <c r="Q396" s="1">
        <v>2.1</v>
      </c>
      <c r="R396" s="1">
        <v>18.5</v>
      </c>
      <c r="S396" s="1">
        <v>9.1</v>
      </c>
      <c r="T396" s="1">
        <v>81.8</v>
      </c>
      <c r="U396" s="1">
        <v>0.1</v>
      </c>
      <c r="V396" s="1">
        <v>0.7</v>
      </c>
      <c r="W396" s="1">
        <v>0.8</v>
      </c>
      <c r="X396" s="1">
        <f t="array" ref="X396:AR396">XLOOKUP(MID(A396, SEARCH("+++", A396) + 3, LEN(A396)),'Defensive Data'!$A$2:$A$134,'Defensive Data'!$D$2:$X$134)</f>
        <v>19.9</v>
      </c>
      <c r="Y396" s="1">
        <v>30.5</v>
      </c>
      <c r="Z396" s="1">
        <v>65.3</v>
      </c>
      <c r="AA396" s="1">
        <v>211.3</v>
      </c>
      <c r="AB396" s="1">
        <v>1.5</v>
      </c>
      <c r="AC396" s="1">
        <v>35.5</v>
      </c>
      <c r="AD396" s="1">
        <v>165.7</v>
      </c>
      <c r="AE396" s="1">
        <v>4.7</v>
      </c>
      <c r="AF396" s="1">
        <v>1.7</v>
      </c>
      <c r="AG396" s="1">
        <v>66.0</v>
      </c>
      <c r="AH396" s="1">
        <v>376.9</v>
      </c>
      <c r="AI396" s="1">
        <v>5.7</v>
      </c>
      <c r="AJ396" s="1">
        <v>9.3</v>
      </c>
      <c r="AK396" s="1">
        <v>8.5</v>
      </c>
      <c r="AL396" s="1">
        <v>2.6</v>
      </c>
      <c r="AM396" s="1">
        <v>20.3</v>
      </c>
      <c r="AN396" s="1">
        <v>6.9</v>
      </c>
      <c r="AO396" s="1">
        <v>68.3</v>
      </c>
      <c r="AP396" s="1">
        <v>0.4</v>
      </c>
      <c r="AQ396" s="1">
        <v>0.5</v>
      </c>
      <c r="AR396" s="1">
        <v>0.9</v>
      </c>
    </row>
    <row r="397" ht="15.75" customHeight="1">
      <c r="A397" s="1" t="str">
        <f>CONCATENATE(Scores!A397,"+++",Scores!C397)</f>
        <v>San Jose State+++Nevada</v>
      </c>
      <c r="B397" s="1">
        <f>Scores!B397</f>
        <v>35</v>
      </c>
      <c r="C397" s="1">
        <f t="array" ref="C397:W397">XLOOKUP(LEFT(A397,SEARCH("+",A397)-1),'Offensive Data'!$A$2:$A$134,'Offensive Data'!$D$2:$X$134)</f>
        <v>24.3</v>
      </c>
      <c r="D397" s="1">
        <v>42.5</v>
      </c>
      <c r="E397" s="1">
        <v>57.2</v>
      </c>
      <c r="F397" s="1">
        <v>321.8</v>
      </c>
      <c r="G397" s="1">
        <v>2.4</v>
      </c>
      <c r="H397" s="1">
        <v>24.9</v>
      </c>
      <c r="I397" s="1">
        <v>88.1</v>
      </c>
      <c r="J397" s="1">
        <v>3.5</v>
      </c>
      <c r="K397" s="1">
        <v>1.0</v>
      </c>
      <c r="L397" s="1">
        <v>67.4</v>
      </c>
      <c r="M397" s="1">
        <v>409.8</v>
      </c>
      <c r="N397" s="1">
        <v>6.1</v>
      </c>
      <c r="O397" s="1">
        <v>13.8</v>
      </c>
      <c r="P397" s="1">
        <v>5.5</v>
      </c>
      <c r="Q397" s="1">
        <v>2.5</v>
      </c>
      <c r="R397" s="1">
        <v>21.8</v>
      </c>
      <c r="S397" s="1">
        <v>7.0</v>
      </c>
      <c r="T397" s="1">
        <v>60.3</v>
      </c>
      <c r="U397" s="1">
        <v>1.0</v>
      </c>
      <c r="V397" s="1">
        <v>1.2</v>
      </c>
      <c r="W397" s="1">
        <v>2.2</v>
      </c>
      <c r="X397" s="1">
        <f t="array" ref="X397:AR397">XLOOKUP(MID(A397, SEARCH("+++", A397) + 3, LEN(A397)),'Defensive Data'!$A$2:$A$134,'Defensive Data'!$D$2:$X$134)</f>
        <v>16.2</v>
      </c>
      <c r="Y397" s="1">
        <v>26.7</v>
      </c>
      <c r="Z397" s="1">
        <v>60.5</v>
      </c>
      <c r="AA397" s="1">
        <v>198.6</v>
      </c>
      <c r="AB397" s="1">
        <v>1.0</v>
      </c>
      <c r="AC397" s="1">
        <v>38.2</v>
      </c>
      <c r="AD397" s="1">
        <v>192.8</v>
      </c>
      <c r="AE397" s="1">
        <v>5.1</v>
      </c>
      <c r="AF397" s="1">
        <v>2.4</v>
      </c>
      <c r="AG397" s="1">
        <v>64.8</v>
      </c>
      <c r="AH397" s="1">
        <v>391.5</v>
      </c>
      <c r="AI397" s="1">
        <v>6.0</v>
      </c>
      <c r="AJ397" s="1">
        <v>9.7</v>
      </c>
      <c r="AK397" s="1">
        <v>10.4</v>
      </c>
      <c r="AL397" s="1">
        <v>2.8</v>
      </c>
      <c r="AM397" s="1">
        <v>22.8</v>
      </c>
      <c r="AN397" s="1">
        <v>5.4</v>
      </c>
      <c r="AO397" s="1">
        <v>49.2</v>
      </c>
      <c r="AP397" s="1">
        <v>0.2</v>
      </c>
      <c r="AQ397" s="1">
        <v>0.8</v>
      </c>
      <c r="AR397" s="1">
        <v>1.0</v>
      </c>
    </row>
    <row r="398" ht="15.75" customHeight="1">
      <c r="A398" s="1" t="str">
        <f>CONCATENATE(Scores!A398,"+++",Scores!C398)</f>
        <v>Southern Methodist+++ Louisville</v>
      </c>
      <c r="B398" s="1">
        <f>Scores!B398</f>
        <v>34</v>
      </c>
      <c r="C398" s="1" t="str">
        <f t="array" ref="C398">XLOOKUP(LEFT(A398,SEARCH("+",A398)-1),'Offensive Data'!$A$2:$A$134,'Offensive Data'!$D$2:$X$134)</f>
        <v>#N/A</v>
      </c>
      <c r="X398" s="1" t="str">
        <f t="array" ref="X398">XLOOKUP(MID(A398, SEARCH("+++", A398) + 3, LEN(A398)),'Defensive Data'!$A$2:$A$134,'Defensive Data'!$D$2:$X$134)</f>
        <v>#N/A</v>
      </c>
    </row>
    <row r="399" ht="15.75" customHeight="1">
      <c r="A399" s="1" t="str">
        <f>CONCATENATE(Scores!A399,"+++",Scores!C399)</f>
        <v> Texas A&amp;M+++ Missouri</v>
      </c>
      <c r="B399" s="1">
        <f>Scores!B399</f>
        <v>41</v>
      </c>
      <c r="C399" s="1" t="str">
        <f t="array" ref="C399">XLOOKUP(LEFT(A399,SEARCH("+",A399)-1),'Offensive Data'!$A$2:$A$134,'Offensive Data'!$D$2:$X$134)</f>
        <v>#N/A</v>
      </c>
      <c r="X399" s="1" t="str">
        <f t="array" ref="X399">XLOOKUP(MID(A399, SEARCH("+++", A399) + 3, LEN(A399)),'Defensive Data'!$A$2:$A$134,'Defensive Data'!$D$2:$X$134)</f>
        <v>#N/A</v>
      </c>
    </row>
    <row r="400" ht="15.75" customHeight="1">
      <c r="A400" s="1" t="str">
        <f>CONCATENATE(Scores!A400,"+++",Scores!C400)</f>
        <v>Texas Tech+++Arizona</v>
      </c>
      <c r="B400" s="1">
        <f>Scores!B400</f>
        <v>28</v>
      </c>
      <c r="C400" s="1">
        <f t="array" ref="C400:W400">XLOOKUP(LEFT(A400,SEARCH("+",A400)-1),'Offensive Data'!$A$2:$A$134,'Offensive Data'!$D$2:$X$134)</f>
        <v>25.8</v>
      </c>
      <c r="D400" s="1">
        <v>41.2</v>
      </c>
      <c r="E400" s="1">
        <v>62.7</v>
      </c>
      <c r="F400" s="1">
        <v>296.7</v>
      </c>
      <c r="G400" s="1">
        <v>2.4</v>
      </c>
      <c r="H400" s="1">
        <v>36.5</v>
      </c>
      <c r="I400" s="1">
        <v>166.0</v>
      </c>
      <c r="J400" s="1">
        <v>4.6</v>
      </c>
      <c r="K400" s="1">
        <v>2.0</v>
      </c>
      <c r="L400" s="1">
        <v>77.7</v>
      </c>
      <c r="M400" s="1">
        <v>462.7</v>
      </c>
      <c r="N400" s="1">
        <v>6.0</v>
      </c>
      <c r="O400" s="1">
        <v>13.4</v>
      </c>
      <c r="P400" s="1">
        <v>9.5</v>
      </c>
      <c r="Q400" s="1">
        <v>1.6</v>
      </c>
      <c r="R400" s="1">
        <v>24.5</v>
      </c>
      <c r="S400" s="1">
        <v>7.3</v>
      </c>
      <c r="T400" s="1">
        <v>60.9</v>
      </c>
      <c r="U400" s="1">
        <v>0.8</v>
      </c>
      <c r="V400" s="1">
        <v>0.8</v>
      </c>
      <c r="W400" s="1">
        <v>1.6</v>
      </c>
      <c r="X400" s="1">
        <f t="array" ref="X400:AR400">XLOOKUP(MID(A400, SEARCH("+++", A400) + 3, LEN(A400)),'Defensive Data'!$A$2:$A$134,'Defensive Data'!$D$2:$X$134)</f>
        <v>18.8</v>
      </c>
      <c r="Y400" s="1">
        <v>29.6</v>
      </c>
      <c r="Z400" s="1">
        <v>63.7</v>
      </c>
      <c r="AA400" s="1">
        <v>239.0</v>
      </c>
      <c r="AB400" s="1">
        <v>1.8</v>
      </c>
      <c r="AC400" s="1">
        <v>35.8</v>
      </c>
      <c r="AD400" s="1">
        <v>174.0</v>
      </c>
      <c r="AE400" s="1">
        <v>4.9</v>
      </c>
      <c r="AF400" s="1">
        <v>2.1</v>
      </c>
      <c r="AG400" s="1">
        <v>65.4</v>
      </c>
      <c r="AH400" s="1">
        <v>413.0</v>
      </c>
      <c r="AI400" s="1">
        <v>6.3</v>
      </c>
      <c r="AJ400" s="1">
        <v>9.8</v>
      </c>
      <c r="AK400" s="1">
        <v>9.4</v>
      </c>
      <c r="AL400" s="1">
        <v>1.8</v>
      </c>
      <c r="AM400" s="1">
        <v>21.0</v>
      </c>
      <c r="AN400" s="1">
        <v>5.0</v>
      </c>
      <c r="AO400" s="1">
        <v>44.5</v>
      </c>
      <c r="AP400" s="1">
        <v>0.7</v>
      </c>
      <c r="AQ400" s="1">
        <v>0.7</v>
      </c>
      <c r="AR400" s="1">
        <v>1.3</v>
      </c>
    </row>
    <row r="401" ht="15.75" customHeight="1">
      <c r="A401" s="1" t="str">
        <f>CONCATENATE(Scores!A401,"+++",Scores!C401)</f>
        <v>Toledo+++Miami (OH)</v>
      </c>
      <c r="B401" s="1">
        <f>Scores!B401</f>
        <v>30</v>
      </c>
      <c r="C401" s="1">
        <f t="array" ref="C401:W401">XLOOKUP(LEFT(A401,SEARCH("+",A401)-1),'Offensive Data'!$A$2:$A$134,'Offensive Data'!$D$2:$X$134)</f>
        <v>21.2</v>
      </c>
      <c r="D401" s="1">
        <v>34.8</v>
      </c>
      <c r="E401" s="1">
        <v>60.9</v>
      </c>
      <c r="F401" s="1">
        <v>254.2</v>
      </c>
      <c r="G401" s="1">
        <v>2.2</v>
      </c>
      <c r="H401" s="1">
        <v>33.5</v>
      </c>
      <c r="I401" s="1">
        <v>115.7</v>
      </c>
      <c r="J401" s="1">
        <v>3.4</v>
      </c>
      <c r="K401" s="1">
        <v>1.0</v>
      </c>
      <c r="L401" s="1">
        <v>68.4</v>
      </c>
      <c r="M401" s="1">
        <v>369.9</v>
      </c>
      <c r="N401" s="1">
        <v>5.4</v>
      </c>
      <c r="O401" s="1">
        <v>11.1</v>
      </c>
      <c r="P401" s="1">
        <v>6.2</v>
      </c>
      <c r="Q401" s="1">
        <v>2.5</v>
      </c>
      <c r="R401" s="1">
        <v>19.8</v>
      </c>
      <c r="S401" s="1">
        <v>6.4</v>
      </c>
      <c r="T401" s="1">
        <v>56.8</v>
      </c>
      <c r="U401" s="1">
        <v>0.8</v>
      </c>
      <c r="V401" s="1">
        <v>0.6</v>
      </c>
      <c r="W401" s="1">
        <v>1.5</v>
      </c>
      <c r="X401" s="1">
        <f t="array" ref="X401:AR401">XLOOKUP(MID(A401, SEARCH("+++", A401) + 3, LEN(A401)),'Defensive Data'!$A$2:$A$134,'Defensive Data'!$D$2:$X$134)</f>
        <v>19.1</v>
      </c>
      <c r="Y401" s="1">
        <v>33.1</v>
      </c>
      <c r="Z401" s="1">
        <v>57.8</v>
      </c>
      <c r="AA401" s="1">
        <v>194.3</v>
      </c>
      <c r="AB401" s="1">
        <v>0.7</v>
      </c>
      <c r="AC401" s="1">
        <v>35.1</v>
      </c>
      <c r="AD401" s="1">
        <v>137.1</v>
      </c>
      <c r="AE401" s="1">
        <v>3.9</v>
      </c>
      <c r="AF401" s="1">
        <v>1.4</v>
      </c>
      <c r="AG401" s="1">
        <v>68.2</v>
      </c>
      <c r="AH401" s="1">
        <v>331.4</v>
      </c>
      <c r="AI401" s="1">
        <v>4.9</v>
      </c>
      <c r="AJ401" s="1">
        <v>10.1</v>
      </c>
      <c r="AK401" s="1">
        <v>8.3</v>
      </c>
      <c r="AL401" s="1">
        <v>1.8</v>
      </c>
      <c r="AM401" s="1">
        <v>20.2</v>
      </c>
      <c r="AN401" s="1">
        <v>4.9</v>
      </c>
      <c r="AO401" s="1">
        <v>41.9</v>
      </c>
      <c r="AP401" s="1">
        <v>0.7</v>
      </c>
      <c r="AQ401" s="1">
        <v>0.9</v>
      </c>
      <c r="AR401" s="1">
        <v>1.6</v>
      </c>
    </row>
    <row r="402" ht="15.75" customHeight="1">
      <c r="A402" s="1" t="str">
        <f>CONCATENATE(Scores!A402,"+++",Scores!C402)</f>
        <v>Tulane+++Alabama-Birmingham</v>
      </c>
      <c r="B402" s="1">
        <f>Scores!B402</f>
        <v>71</v>
      </c>
      <c r="C402" s="1">
        <f t="array" ref="C402:W402">XLOOKUP(LEFT(A402,SEARCH("+",A402)-1),'Offensive Data'!$A$2:$A$134,'Offensive Data'!$D$2:$X$134)</f>
        <v>14.8</v>
      </c>
      <c r="D402" s="1">
        <v>23.5</v>
      </c>
      <c r="E402" s="1">
        <v>62.9</v>
      </c>
      <c r="F402" s="1">
        <v>209.4</v>
      </c>
      <c r="G402" s="1">
        <v>1.8</v>
      </c>
      <c r="H402" s="1">
        <v>40.5</v>
      </c>
      <c r="I402" s="1">
        <v>195.6</v>
      </c>
      <c r="J402" s="1">
        <v>4.8</v>
      </c>
      <c r="K402" s="1">
        <v>2.3</v>
      </c>
      <c r="L402" s="1">
        <v>64.0</v>
      </c>
      <c r="M402" s="1">
        <v>405.0</v>
      </c>
      <c r="N402" s="1">
        <v>6.3</v>
      </c>
      <c r="O402" s="1">
        <v>8.5</v>
      </c>
      <c r="P402" s="1">
        <v>10.5</v>
      </c>
      <c r="Q402" s="1">
        <v>1.8</v>
      </c>
      <c r="R402" s="1">
        <v>20.8</v>
      </c>
      <c r="S402" s="1">
        <v>6.1</v>
      </c>
      <c r="T402" s="1">
        <v>50.1</v>
      </c>
      <c r="U402" s="1">
        <v>0.4</v>
      </c>
      <c r="V402" s="1">
        <v>0.6</v>
      </c>
      <c r="W402" s="1">
        <v>1.1</v>
      </c>
      <c r="X402" s="1" t="str">
        <f t="array" ref="X402">XLOOKUP(MID(A402, SEARCH("+++", A402) + 3, LEN(A402)),'Defensive Data'!$A$2:$A$134,'Defensive Data'!$D$2:$X$134)</f>
        <v>#N/A</v>
      </c>
    </row>
    <row r="403" ht="15.75" customHeight="1">
      <c r="A403" s="1" t="str">
        <f>CONCATENATE(Scores!A403,"+++",Scores!C403)</f>
        <v>Vanderbilt+++ Alabama</v>
      </c>
      <c r="B403" s="1">
        <f>Scores!B403</f>
        <v>40</v>
      </c>
      <c r="C403" s="1">
        <f t="array" ref="C403:W403">XLOOKUP(LEFT(A403,SEARCH("+",A403)-1),'Offensive Data'!$A$2:$A$134,'Offensive Data'!$D$2:$X$134)</f>
        <v>13.8</v>
      </c>
      <c r="D403" s="1">
        <v>23.4</v>
      </c>
      <c r="E403" s="1">
        <v>58.9</v>
      </c>
      <c r="F403" s="1">
        <v>178.6</v>
      </c>
      <c r="G403" s="1">
        <v>1.6</v>
      </c>
      <c r="H403" s="1">
        <v>36.5</v>
      </c>
      <c r="I403" s="1">
        <v>139.8</v>
      </c>
      <c r="J403" s="1">
        <v>3.8</v>
      </c>
      <c r="K403" s="1">
        <v>1.4</v>
      </c>
      <c r="L403" s="1">
        <v>59.9</v>
      </c>
      <c r="M403" s="1">
        <v>318.4</v>
      </c>
      <c r="N403" s="1">
        <v>5.3</v>
      </c>
      <c r="O403" s="1">
        <v>8.2</v>
      </c>
      <c r="P403" s="1">
        <v>8.1</v>
      </c>
      <c r="Q403" s="1">
        <v>1.9</v>
      </c>
      <c r="R403" s="1">
        <v>18.2</v>
      </c>
      <c r="S403" s="1">
        <v>5.6</v>
      </c>
      <c r="T403" s="1">
        <v>54.4</v>
      </c>
      <c r="U403" s="1">
        <v>0.2</v>
      </c>
      <c r="V403" s="1">
        <v>0.3</v>
      </c>
      <c r="W403" s="1">
        <v>0.5</v>
      </c>
      <c r="X403" s="1" t="str">
        <f t="array" ref="X403">XLOOKUP(MID(A403, SEARCH("+++", A403) + 3, LEN(A403)),'Defensive Data'!$A$2:$A$134,'Defensive Data'!$D$2:$X$134)</f>
        <v>#N/A</v>
      </c>
    </row>
    <row r="404" ht="15.75" customHeight="1">
      <c r="A404" s="1" t="str">
        <f>CONCATENATE(Scores!A404,"+++",Scores!C404)</f>
        <v>Virginia+++Boston College</v>
      </c>
      <c r="B404" s="1">
        <f>Scores!B404</f>
        <v>24</v>
      </c>
      <c r="C404" s="1">
        <f t="array" ref="C404:W404">XLOOKUP(LEFT(A404,SEARCH("+",A404)-1),'Offensive Data'!$A$2:$A$134,'Offensive Data'!$D$2:$X$134)</f>
        <v>20.5</v>
      </c>
      <c r="D404" s="1">
        <v>33.4</v>
      </c>
      <c r="E404" s="1">
        <v>61.3</v>
      </c>
      <c r="F404" s="1">
        <v>229.0</v>
      </c>
      <c r="G404" s="1">
        <v>1.3</v>
      </c>
      <c r="H404" s="1">
        <v>36.0</v>
      </c>
      <c r="I404" s="1">
        <v>131.9</v>
      </c>
      <c r="J404" s="1">
        <v>3.7</v>
      </c>
      <c r="K404" s="1">
        <v>1.2</v>
      </c>
      <c r="L404" s="1">
        <v>69.4</v>
      </c>
      <c r="M404" s="1">
        <v>360.9</v>
      </c>
      <c r="N404" s="1">
        <v>5.2</v>
      </c>
      <c r="O404" s="1">
        <v>9.7</v>
      </c>
      <c r="P404" s="1">
        <v>8.3</v>
      </c>
      <c r="Q404" s="1">
        <v>1.6</v>
      </c>
      <c r="R404" s="1">
        <v>19.5</v>
      </c>
      <c r="S404" s="1">
        <v>5.2</v>
      </c>
      <c r="T404" s="1">
        <v>45.3</v>
      </c>
      <c r="U404" s="1">
        <v>0.4</v>
      </c>
      <c r="V404" s="1">
        <v>1.2</v>
      </c>
      <c r="W404" s="1">
        <v>1.6</v>
      </c>
      <c r="X404" s="1">
        <f t="array" ref="X404:AR404">XLOOKUP(MID(A404, SEARCH("+++", A404) + 3, LEN(A404)),'Defensive Data'!$A$2:$A$134,'Defensive Data'!$D$2:$X$134)</f>
        <v>20.8</v>
      </c>
      <c r="Y404" s="1">
        <v>33.9</v>
      </c>
      <c r="Z404" s="1">
        <v>61.5</v>
      </c>
      <c r="AA404" s="1">
        <v>245.8</v>
      </c>
      <c r="AB404" s="1">
        <v>1.3</v>
      </c>
      <c r="AC404" s="1">
        <v>31.8</v>
      </c>
      <c r="AD404" s="1">
        <v>114.9</v>
      </c>
      <c r="AE404" s="1">
        <v>3.6</v>
      </c>
      <c r="AF404" s="1">
        <v>1.2</v>
      </c>
      <c r="AG404" s="1">
        <v>65.7</v>
      </c>
      <c r="AH404" s="1">
        <v>360.7</v>
      </c>
      <c r="AI404" s="1">
        <v>5.5</v>
      </c>
      <c r="AJ404" s="1">
        <v>11.8</v>
      </c>
      <c r="AK404" s="1">
        <v>6.6</v>
      </c>
      <c r="AL404" s="1">
        <v>1.5</v>
      </c>
      <c r="AM404" s="1">
        <v>19.9</v>
      </c>
      <c r="AN404" s="1">
        <v>6.4</v>
      </c>
      <c r="AO404" s="1">
        <v>55.8</v>
      </c>
      <c r="AP404" s="1">
        <v>0.6</v>
      </c>
      <c r="AQ404" s="1">
        <v>1.3</v>
      </c>
      <c r="AR404" s="1">
        <v>1.9</v>
      </c>
    </row>
    <row r="405" ht="15.75" customHeight="1">
      <c r="A405" s="1" t="str">
        <f>CONCATENATE(Scores!A405,"+++",Scores!C405)</f>
        <v>Virginia Tech+++Stanford</v>
      </c>
      <c r="B405" s="1">
        <f>Scores!B405</f>
        <v>31</v>
      </c>
      <c r="C405" s="1">
        <f t="array" ref="C405:W405">XLOOKUP(LEFT(A405,SEARCH("+",A405)-1),'Offensive Data'!$A$2:$A$134,'Offensive Data'!$D$2:$X$134)</f>
        <v>15.4</v>
      </c>
      <c r="D405" s="1">
        <v>26.1</v>
      </c>
      <c r="E405" s="1">
        <v>59.0</v>
      </c>
      <c r="F405" s="1">
        <v>189.4</v>
      </c>
      <c r="G405" s="1">
        <v>1.2</v>
      </c>
      <c r="H405" s="1">
        <v>37.8</v>
      </c>
      <c r="I405" s="1">
        <v>178.4</v>
      </c>
      <c r="J405" s="1">
        <v>4.7</v>
      </c>
      <c r="K405" s="1">
        <v>2.2</v>
      </c>
      <c r="L405" s="1">
        <v>63.9</v>
      </c>
      <c r="M405" s="1">
        <v>367.8</v>
      </c>
      <c r="N405" s="1">
        <v>5.8</v>
      </c>
      <c r="O405" s="1">
        <v>7.8</v>
      </c>
      <c r="P405" s="1">
        <v>8.8</v>
      </c>
      <c r="Q405" s="1">
        <v>1.9</v>
      </c>
      <c r="R405" s="1">
        <v>18.5</v>
      </c>
      <c r="S405" s="1">
        <v>5.7</v>
      </c>
      <c r="T405" s="1">
        <v>48.8</v>
      </c>
      <c r="U405" s="1">
        <v>0.6</v>
      </c>
      <c r="V405" s="1">
        <v>0.7</v>
      </c>
      <c r="W405" s="1">
        <v>1.3</v>
      </c>
      <c r="X405" s="1">
        <f t="array" ref="X405:AR405">XLOOKUP(MID(A405, SEARCH("+++", A405) + 3, LEN(A405)),'Defensive Data'!$A$2:$A$134,'Defensive Data'!$D$2:$X$134)</f>
        <v>21.9</v>
      </c>
      <c r="Y405" s="1">
        <v>33.2</v>
      </c>
      <c r="Z405" s="1">
        <v>66.1</v>
      </c>
      <c r="AA405" s="1">
        <v>280.6</v>
      </c>
      <c r="AB405" s="1">
        <v>2.6</v>
      </c>
      <c r="AC405" s="1">
        <v>31.6</v>
      </c>
      <c r="AD405" s="1">
        <v>133.5</v>
      </c>
      <c r="AE405" s="1">
        <v>4.2</v>
      </c>
      <c r="AF405" s="1">
        <v>1.8</v>
      </c>
      <c r="AG405" s="1">
        <v>64.8</v>
      </c>
      <c r="AH405" s="1">
        <v>414.1</v>
      </c>
      <c r="AI405" s="1">
        <v>6.4</v>
      </c>
      <c r="AJ405" s="1">
        <v>12.4</v>
      </c>
      <c r="AK405" s="1">
        <v>7.3</v>
      </c>
      <c r="AL405" s="1">
        <v>1.5</v>
      </c>
      <c r="AM405" s="1">
        <v>21.2</v>
      </c>
      <c r="AN405" s="1">
        <v>6.8</v>
      </c>
      <c r="AO405" s="1">
        <v>61.8</v>
      </c>
      <c r="AP405" s="1">
        <v>0.7</v>
      </c>
      <c r="AQ405" s="1">
        <v>0.8</v>
      </c>
      <c r="AR405" s="1">
        <v>1.4</v>
      </c>
    </row>
    <row r="406" ht="15.75" customHeight="1">
      <c r="A406" s="1" t="str">
        <f>CONCATENATE(Scores!A406,"+++",Scores!C406)</f>
        <v>Wake Forest+++North Carolina State</v>
      </c>
      <c r="B406" s="1">
        <f>Scores!B406</f>
        <v>34</v>
      </c>
      <c r="C406" s="1">
        <f t="array" ref="C406:W406">XLOOKUP(LEFT(A406,SEARCH("+",A406)-1),'Offensive Data'!$A$2:$A$134,'Offensive Data'!$D$2:$X$134)</f>
        <v>20.7</v>
      </c>
      <c r="D406" s="1">
        <v>33.7</v>
      </c>
      <c r="E406" s="1">
        <v>61.4</v>
      </c>
      <c r="F406" s="1">
        <v>240.1</v>
      </c>
      <c r="G406" s="1">
        <v>1.4</v>
      </c>
      <c r="H406" s="1">
        <v>37.0</v>
      </c>
      <c r="I406" s="1">
        <v>130.6</v>
      </c>
      <c r="J406" s="1">
        <v>3.5</v>
      </c>
      <c r="K406" s="1">
        <v>1.5</v>
      </c>
      <c r="L406" s="1">
        <v>70.7</v>
      </c>
      <c r="M406" s="1">
        <v>370.7</v>
      </c>
      <c r="N406" s="1">
        <v>5.2</v>
      </c>
      <c r="O406" s="1">
        <v>11.3</v>
      </c>
      <c r="P406" s="1">
        <v>7.8</v>
      </c>
      <c r="Q406" s="1">
        <v>2.7</v>
      </c>
      <c r="R406" s="1">
        <v>21.8</v>
      </c>
      <c r="S406" s="1">
        <v>5.1</v>
      </c>
      <c r="T406" s="1">
        <v>45.9</v>
      </c>
      <c r="U406" s="1">
        <v>0.7</v>
      </c>
      <c r="V406" s="1">
        <v>1.1</v>
      </c>
      <c r="W406" s="1">
        <v>1.8</v>
      </c>
      <c r="X406" s="1">
        <f t="array" ref="X406:AR406">XLOOKUP(MID(A406, SEARCH("+++", A406) + 3, LEN(A406)),'Defensive Data'!$A$2:$A$134,'Defensive Data'!$D$2:$X$134)</f>
        <v>20.1</v>
      </c>
      <c r="Y406" s="1">
        <v>32.8</v>
      </c>
      <c r="Z406" s="1">
        <v>61.3</v>
      </c>
      <c r="AA406" s="1">
        <v>233.8</v>
      </c>
      <c r="AB406" s="1">
        <v>1.5</v>
      </c>
      <c r="AC406" s="1">
        <v>32.4</v>
      </c>
      <c r="AD406" s="1">
        <v>157.0</v>
      </c>
      <c r="AE406" s="1">
        <v>4.8</v>
      </c>
      <c r="AF406" s="1">
        <v>1.9</v>
      </c>
      <c r="AG406" s="1">
        <v>65.2</v>
      </c>
      <c r="AH406" s="1">
        <v>390.8</v>
      </c>
      <c r="AI406" s="1">
        <v>6.0</v>
      </c>
      <c r="AJ406" s="1">
        <v>10.2</v>
      </c>
      <c r="AK406" s="1">
        <v>7.7</v>
      </c>
      <c r="AL406" s="1">
        <v>1.5</v>
      </c>
      <c r="AM406" s="1">
        <v>19.5</v>
      </c>
      <c r="AN406" s="1">
        <v>6.2</v>
      </c>
      <c r="AO406" s="1">
        <v>55.2</v>
      </c>
      <c r="AP406" s="1">
        <v>0.8</v>
      </c>
      <c r="AQ406" s="1">
        <v>0.8</v>
      </c>
      <c r="AR406" s="1">
        <v>1.5</v>
      </c>
    </row>
    <row r="407" ht="15.75" customHeight="1">
      <c r="A407" s="1" t="str">
        <f>CONCATENATE(Scores!A407,"+++",Scores!C407)</f>
        <v>Washington+++ Michigan</v>
      </c>
      <c r="B407" s="1">
        <f>Scores!B407</f>
        <v>27</v>
      </c>
      <c r="C407" s="1">
        <f t="array" ref="C407:W407">XLOOKUP(LEFT(A407,SEARCH("+",A407)-1),'Offensive Data'!$A$2:$A$134,'Offensive Data'!$D$2:$X$134)</f>
        <v>23.2</v>
      </c>
      <c r="D407" s="1">
        <v>32.1</v>
      </c>
      <c r="E407" s="1">
        <v>72.4</v>
      </c>
      <c r="F407" s="1">
        <v>261.7</v>
      </c>
      <c r="G407" s="1">
        <v>1.7</v>
      </c>
      <c r="H407" s="1">
        <v>32.5</v>
      </c>
      <c r="I407" s="1">
        <v>128.8</v>
      </c>
      <c r="J407" s="1">
        <v>4.0</v>
      </c>
      <c r="K407" s="1">
        <v>1.1</v>
      </c>
      <c r="L407" s="1">
        <v>64.6</v>
      </c>
      <c r="M407" s="1">
        <v>390.5</v>
      </c>
      <c r="N407" s="1">
        <v>6.0</v>
      </c>
      <c r="O407" s="1">
        <v>11.5</v>
      </c>
      <c r="P407" s="1">
        <v>8.0</v>
      </c>
      <c r="Q407" s="1">
        <v>1.2</v>
      </c>
      <c r="R407" s="1">
        <v>20.7</v>
      </c>
      <c r="S407" s="1">
        <v>5.8</v>
      </c>
      <c r="T407" s="1">
        <v>51.8</v>
      </c>
      <c r="U407" s="1">
        <v>0.3</v>
      </c>
      <c r="V407" s="1">
        <v>0.6</v>
      </c>
      <c r="W407" s="1">
        <v>0.9</v>
      </c>
      <c r="X407" s="1" t="str">
        <f t="array" ref="X407">XLOOKUP(MID(A407, SEARCH("+++", A407) + 3, LEN(A407)),'Defensive Data'!$A$2:$A$134,'Defensive Data'!$D$2:$X$134)</f>
        <v>#N/A</v>
      </c>
    </row>
    <row r="408" ht="15.75" customHeight="1">
      <c r="A408" s="1" t="str">
        <f>CONCATENATE(Scores!A408,"+++",Scores!C408)</f>
        <v>West Virginia+++Oklahoma State</v>
      </c>
      <c r="B408" s="1">
        <f>Scores!B408</f>
        <v>38</v>
      </c>
      <c r="C408" s="1">
        <f t="array" ref="C408:W408">XLOOKUP(LEFT(A408,SEARCH("+",A408)-1),'Offensive Data'!$A$2:$A$134,'Offensive Data'!$D$2:$X$134)</f>
        <v>17.4</v>
      </c>
      <c r="D408" s="1">
        <v>28.5</v>
      </c>
      <c r="E408" s="1">
        <v>60.9</v>
      </c>
      <c r="F408" s="1">
        <v>210.3</v>
      </c>
      <c r="G408" s="1">
        <v>1.5</v>
      </c>
      <c r="H408" s="1">
        <v>40.7</v>
      </c>
      <c r="I408" s="1">
        <v>193.7</v>
      </c>
      <c r="J408" s="1">
        <v>4.8</v>
      </c>
      <c r="K408" s="1">
        <v>2.1</v>
      </c>
      <c r="L408" s="1">
        <v>69.2</v>
      </c>
      <c r="M408" s="1">
        <v>404.0</v>
      </c>
      <c r="N408" s="1">
        <v>5.8</v>
      </c>
      <c r="O408" s="1">
        <v>9.8</v>
      </c>
      <c r="P408" s="1">
        <v>10.8</v>
      </c>
      <c r="Q408" s="1">
        <v>1.9</v>
      </c>
      <c r="R408" s="1">
        <v>22.6</v>
      </c>
      <c r="S408" s="1">
        <v>4.4</v>
      </c>
      <c r="T408" s="1">
        <v>34.3</v>
      </c>
      <c r="U408" s="1">
        <v>0.4</v>
      </c>
      <c r="V408" s="1">
        <v>1.1</v>
      </c>
      <c r="W408" s="1">
        <v>1.5</v>
      </c>
      <c r="X408" s="1">
        <f t="array" ref="X408:AR408">XLOOKUP(MID(A408, SEARCH("+++", A408) + 3, LEN(A408)),'Defensive Data'!$A$2:$A$134,'Defensive Data'!$D$2:$X$134)</f>
        <v>21.2</v>
      </c>
      <c r="Y408" s="1">
        <v>33.8</v>
      </c>
      <c r="Z408" s="1">
        <v>62.7</v>
      </c>
      <c r="AA408" s="1">
        <v>285.6</v>
      </c>
      <c r="AB408" s="1">
        <v>2.2</v>
      </c>
      <c r="AC408" s="1">
        <v>39.8</v>
      </c>
      <c r="AD408" s="1">
        <v>215.0</v>
      </c>
      <c r="AE408" s="1">
        <v>5.4</v>
      </c>
      <c r="AF408" s="1">
        <v>2.3</v>
      </c>
      <c r="AG408" s="1">
        <v>73.5</v>
      </c>
      <c r="AH408" s="1">
        <v>500.6</v>
      </c>
      <c r="AI408" s="1">
        <v>6.8</v>
      </c>
      <c r="AJ408" s="1">
        <v>12.4</v>
      </c>
      <c r="AK408" s="1">
        <v>11.3</v>
      </c>
      <c r="AL408" s="1">
        <v>1.3</v>
      </c>
      <c r="AM408" s="1">
        <v>25.0</v>
      </c>
      <c r="AN408" s="1">
        <v>5.3</v>
      </c>
      <c r="AO408" s="1">
        <v>48.9</v>
      </c>
      <c r="AP408" s="1">
        <v>0.3</v>
      </c>
      <c r="AQ408" s="1">
        <v>1.0</v>
      </c>
      <c r="AR408" s="1">
        <v>1.3</v>
      </c>
    </row>
    <row r="409" ht="15.75" customHeight="1">
      <c r="A409" s="1" t="str">
        <f>CONCATENATE(Scores!A409,"+++",Scores!C409)</f>
        <v>Western Michigan+++Ball State</v>
      </c>
      <c r="B409" s="1">
        <f>Scores!B409</f>
        <v>45</v>
      </c>
      <c r="C409" s="1">
        <f t="array" ref="C409:W409">XLOOKUP(LEFT(A409,SEARCH("+",A409)-1),'Offensive Data'!$A$2:$A$134,'Offensive Data'!$D$2:$X$134)</f>
        <v>16.3</v>
      </c>
      <c r="D409" s="1">
        <v>24.8</v>
      </c>
      <c r="E409" s="1">
        <v>65.6</v>
      </c>
      <c r="F409" s="1">
        <v>187.0</v>
      </c>
      <c r="G409" s="1">
        <v>1.4</v>
      </c>
      <c r="H409" s="1">
        <v>37.2</v>
      </c>
      <c r="I409" s="1">
        <v>183.0</v>
      </c>
      <c r="J409" s="1">
        <v>4.9</v>
      </c>
      <c r="K409" s="1">
        <v>2.2</v>
      </c>
      <c r="L409" s="1">
        <v>62.1</v>
      </c>
      <c r="M409" s="1">
        <v>370.0</v>
      </c>
      <c r="N409" s="1">
        <v>6.0</v>
      </c>
      <c r="O409" s="1">
        <v>8.7</v>
      </c>
      <c r="P409" s="1">
        <v>9.4</v>
      </c>
      <c r="Q409" s="1">
        <v>1.4</v>
      </c>
      <c r="R409" s="1">
        <v>19.5</v>
      </c>
      <c r="S409" s="1">
        <v>4.2</v>
      </c>
      <c r="T409" s="1">
        <v>39.2</v>
      </c>
      <c r="U409" s="1">
        <v>0.3</v>
      </c>
      <c r="V409" s="1">
        <v>0.7</v>
      </c>
      <c r="W409" s="1">
        <v>1.0</v>
      </c>
      <c r="X409" s="1">
        <f t="array" ref="X409:AR409">XLOOKUP(MID(A409, SEARCH("+++", A409) + 3, LEN(A409)),'Defensive Data'!$A$2:$A$134,'Defensive Data'!$D$2:$X$134)</f>
        <v>19.4</v>
      </c>
      <c r="Y409" s="1">
        <v>31.3</v>
      </c>
      <c r="Z409" s="1">
        <v>62.0</v>
      </c>
      <c r="AA409" s="1">
        <v>279.6</v>
      </c>
      <c r="AB409" s="1">
        <v>3.1</v>
      </c>
      <c r="AC409" s="1">
        <v>33.7</v>
      </c>
      <c r="AD409" s="1">
        <v>175.3</v>
      </c>
      <c r="AE409" s="1">
        <v>5.2</v>
      </c>
      <c r="AF409" s="1">
        <v>2.0</v>
      </c>
      <c r="AG409" s="1">
        <v>65.0</v>
      </c>
      <c r="AH409" s="1">
        <v>454.9</v>
      </c>
      <c r="AI409" s="1">
        <v>7.0</v>
      </c>
      <c r="AJ409" s="1">
        <v>12.1</v>
      </c>
      <c r="AK409" s="1">
        <v>8.3</v>
      </c>
      <c r="AL409" s="1">
        <v>1.8</v>
      </c>
      <c r="AM409" s="1">
        <v>22.3</v>
      </c>
      <c r="AN409" s="1">
        <v>5.3</v>
      </c>
      <c r="AO409" s="1">
        <v>49.4</v>
      </c>
      <c r="AP409" s="1">
        <v>0.7</v>
      </c>
      <c r="AQ409" s="1">
        <v>0.7</v>
      </c>
      <c r="AR409" s="1">
        <v>1.3</v>
      </c>
    </row>
    <row r="410" ht="15.75" customHeight="1">
      <c r="A410" s="1" t="str">
        <f>CONCATENATE(Scores!A410,"+++",Scores!C410)</f>
        <v>Wisconsin+++Purdue</v>
      </c>
      <c r="B410" s="1">
        <f>Scores!B410</f>
        <v>52</v>
      </c>
      <c r="C410" s="1">
        <f t="array" ref="C410:W410">XLOOKUP(LEFT(A410,SEARCH("+",A410)-1),'Offensive Data'!$A$2:$A$134,'Offensive Data'!$D$2:$X$134)</f>
        <v>17.3</v>
      </c>
      <c r="D410" s="1">
        <v>30.4</v>
      </c>
      <c r="E410" s="1">
        <v>57.0</v>
      </c>
      <c r="F410" s="1">
        <v>196.7</v>
      </c>
      <c r="G410" s="1">
        <v>1.2</v>
      </c>
      <c r="H410" s="1">
        <v>35.2</v>
      </c>
      <c r="I410" s="1">
        <v>153.7</v>
      </c>
      <c r="J410" s="1">
        <v>4.4</v>
      </c>
      <c r="K410" s="1">
        <v>1.6</v>
      </c>
      <c r="L410" s="1">
        <v>65.6</v>
      </c>
      <c r="M410" s="1">
        <v>350.3</v>
      </c>
      <c r="N410" s="1">
        <v>5.3</v>
      </c>
      <c r="O410" s="1">
        <v>8.2</v>
      </c>
      <c r="P410" s="1">
        <v>8.7</v>
      </c>
      <c r="Q410" s="1">
        <v>1.9</v>
      </c>
      <c r="R410" s="1">
        <v>18.8</v>
      </c>
      <c r="S410" s="1">
        <v>5.3</v>
      </c>
      <c r="T410" s="1">
        <v>37.5</v>
      </c>
      <c r="U410" s="1">
        <v>0.7</v>
      </c>
      <c r="V410" s="1">
        <v>0.8</v>
      </c>
      <c r="W410" s="1">
        <v>1.5</v>
      </c>
      <c r="X410" s="1">
        <f t="array" ref="X410:AR410">XLOOKUP(MID(A410, SEARCH("+++", A410) + 3, LEN(A410)),'Defensive Data'!$A$2:$A$134,'Defensive Data'!$D$2:$X$134)</f>
        <v>18.2</v>
      </c>
      <c r="Y410" s="1">
        <v>27.6</v>
      </c>
      <c r="Z410" s="1">
        <v>65.9</v>
      </c>
      <c r="AA410" s="1">
        <v>252.7</v>
      </c>
      <c r="AB410" s="1">
        <v>2.3</v>
      </c>
      <c r="AC410" s="1">
        <v>39.3</v>
      </c>
      <c r="AD410" s="1">
        <v>200.0</v>
      </c>
      <c r="AE410" s="1">
        <v>5.1</v>
      </c>
      <c r="AF410" s="1">
        <v>2.8</v>
      </c>
      <c r="AG410" s="1">
        <v>66.9</v>
      </c>
      <c r="AH410" s="1">
        <v>452.7</v>
      </c>
      <c r="AI410" s="1">
        <v>6.8</v>
      </c>
      <c r="AJ410" s="1">
        <v>11.3</v>
      </c>
      <c r="AK410" s="1">
        <v>11.0</v>
      </c>
      <c r="AL410" s="1">
        <v>1.7</v>
      </c>
      <c r="AM410" s="1">
        <v>24.0</v>
      </c>
      <c r="AN410" s="1">
        <v>5.2</v>
      </c>
      <c r="AO410" s="1">
        <v>47.7</v>
      </c>
      <c r="AP410" s="1">
        <v>0.1</v>
      </c>
      <c r="AQ410" s="1">
        <v>0.3</v>
      </c>
      <c r="AR410" s="1">
        <v>0.4</v>
      </c>
    </row>
    <row r="411" ht="15.75" customHeight="1">
      <c r="A411" s="1" t="str">
        <f>CONCATENATE(Scores!A411,"+++",Scores!C411)</f>
        <v>Liberty+++Florida International</v>
      </c>
      <c r="B411" s="1">
        <f>Scores!B411</f>
        <v>31</v>
      </c>
      <c r="C411" s="1">
        <f t="array" ref="C411:W411">XLOOKUP(LEFT(A411,SEARCH("+",A411)-1),'Offensive Data'!$A$2:$A$134,'Offensive Data'!$D$2:$X$134)</f>
        <v>13.1</v>
      </c>
      <c r="D411" s="1">
        <v>24.1</v>
      </c>
      <c r="E411" s="1">
        <v>54.3</v>
      </c>
      <c r="F411" s="1">
        <v>167.8</v>
      </c>
      <c r="G411" s="1">
        <v>1.3</v>
      </c>
      <c r="H411" s="1">
        <v>45.2</v>
      </c>
      <c r="I411" s="1">
        <v>250.7</v>
      </c>
      <c r="J411" s="1">
        <v>5.5</v>
      </c>
      <c r="K411" s="1">
        <v>2.3</v>
      </c>
      <c r="L411" s="1">
        <v>69.3</v>
      </c>
      <c r="M411" s="1">
        <v>418.5</v>
      </c>
      <c r="N411" s="1">
        <v>6.0</v>
      </c>
      <c r="O411" s="1">
        <v>7.5</v>
      </c>
      <c r="P411" s="1">
        <v>13.8</v>
      </c>
      <c r="Q411" s="1">
        <v>1.8</v>
      </c>
      <c r="R411" s="1">
        <v>23.1</v>
      </c>
      <c r="S411" s="1">
        <v>6.8</v>
      </c>
      <c r="T411" s="1">
        <v>66.1</v>
      </c>
      <c r="U411" s="1">
        <v>0.9</v>
      </c>
      <c r="V411" s="1">
        <v>0.6</v>
      </c>
      <c r="W411" s="1">
        <v>1.5</v>
      </c>
      <c r="X411" s="1">
        <f t="array" ref="X411:AR411">XLOOKUP(MID(A411, SEARCH("+++", A411) + 3, LEN(A411)),'Defensive Data'!$A$2:$A$134,'Defensive Data'!$D$2:$X$134)</f>
        <v>17.6</v>
      </c>
      <c r="Y411" s="1">
        <v>29.8</v>
      </c>
      <c r="Z411" s="1">
        <v>59.1</v>
      </c>
      <c r="AA411" s="1">
        <v>179.6</v>
      </c>
      <c r="AB411" s="1">
        <v>0.8</v>
      </c>
      <c r="AC411" s="1">
        <v>41.0</v>
      </c>
      <c r="AD411" s="1">
        <v>191.3</v>
      </c>
      <c r="AE411" s="1">
        <v>4.7</v>
      </c>
      <c r="AF411" s="1">
        <v>2.3</v>
      </c>
      <c r="AG411" s="1">
        <v>70.8</v>
      </c>
      <c r="AH411" s="1">
        <v>370.9</v>
      </c>
      <c r="AI411" s="1">
        <v>5.2</v>
      </c>
      <c r="AJ411" s="1">
        <v>8.0</v>
      </c>
      <c r="AK411" s="1">
        <v>10.3</v>
      </c>
      <c r="AL411" s="1">
        <v>1.4</v>
      </c>
      <c r="AM411" s="1">
        <v>19.7</v>
      </c>
      <c r="AN411" s="1">
        <v>6.6</v>
      </c>
      <c r="AO411" s="1">
        <v>54.8</v>
      </c>
      <c r="AP411" s="1">
        <v>0.4</v>
      </c>
      <c r="AQ411" s="1">
        <v>0.9</v>
      </c>
      <c r="AR411" s="1">
        <v>1.3</v>
      </c>
    </row>
    <row r="412" ht="15.75" customHeight="1">
      <c r="A412" s="1" t="str">
        <f>CONCATENATE(Scores!A412,"+++",Scores!C412)</f>
        <v>Jacksonville State+++New Mexico State</v>
      </c>
      <c r="B412" s="1">
        <f>Scores!B412</f>
        <v>54</v>
      </c>
      <c r="C412" s="1">
        <f t="array" ref="C412:W412">XLOOKUP(LEFT(A412,SEARCH("+",A412)-1),'Offensive Data'!$A$2:$A$134,'Offensive Data'!$D$2:$X$134)</f>
        <v>13.5</v>
      </c>
      <c r="D412" s="1">
        <v>22.4</v>
      </c>
      <c r="E412" s="1">
        <v>60.2</v>
      </c>
      <c r="F412" s="1">
        <v>190.4</v>
      </c>
      <c r="G412" s="1">
        <v>1.0</v>
      </c>
      <c r="H412" s="1">
        <v>46.1</v>
      </c>
      <c r="I412" s="1">
        <v>251.2</v>
      </c>
      <c r="J412" s="1">
        <v>5.4</v>
      </c>
      <c r="K412" s="1">
        <v>3.6</v>
      </c>
      <c r="L412" s="1">
        <v>68.6</v>
      </c>
      <c r="M412" s="1">
        <v>441.6</v>
      </c>
      <c r="N412" s="1">
        <v>6.4</v>
      </c>
      <c r="O412" s="1">
        <v>7.6</v>
      </c>
      <c r="P412" s="1">
        <v>12.8</v>
      </c>
      <c r="Q412" s="1">
        <v>2.4</v>
      </c>
      <c r="R412" s="1">
        <v>22.7</v>
      </c>
      <c r="S412" s="1">
        <v>5.9</v>
      </c>
      <c r="T412" s="1">
        <v>57.7</v>
      </c>
      <c r="U412" s="1">
        <v>0.6</v>
      </c>
      <c r="V412" s="1">
        <v>0.5</v>
      </c>
      <c r="W412" s="1">
        <v>1.1</v>
      </c>
      <c r="X412" s="1">
        <f t="array" ref="X412:AR412">XLOOKUP(MID(A412, SEARCH("+++", A412) + 3, LEN(A412)),'Defensive Data'!$A$2:$A$134,'Defensive Data'!$D$2:$X$134)</f>
        <v>18.3</v>
      </c>
      <c r="Y412" s="1">
        <v>31.8</v>
      </c>
      <c r="Z412" s="1">
        <v>57.7</v>
      </c>
      <c r="AA412" s="1">
        <v>251.6</v>
      </c>
      <c r="AB412" s="1">
        <v>1.8</v>
      </c>
      <c r="AC412" s="1">
        <v>38.3</v>
      </c>
      <c r="AD412" s="1">
        <v>195.3</v>
      </c>
      <c r="AE412" s="1">
        <v>5.1</v>
      </c>
      <c r="AF412" s="1">
        <v>2.4</v>
      </c>
      <c r="AG412" s="1">
        <v>70.0</v>
      </c>
      <c r="AH412" s="1">
        <v>446.8</v>
      </c>
      <c r="AI412" s="1">
        <v>6.4</v>
      </c>
      <c r="AJ412" s="1">
        <v>10.3</v>
      </c>
      <c r="AK412" s="1">
        <v>9.3</v>
      </c>
      <c r="AL412" s="1">
        <v>1.6</v>
      </c>
      <c r="AM412" s="1">
        <v>21.3</v>
      </c>
      <c r="AN412" s="1">
        <v>7.0</v>
      </c>
      <c r="AO412" s="1">
        <v>75.6</v>
      </c>
      <c r="AP412" s="1">
        <v>0.1</v>
      </c>
      <c r="AQ412" s="1">
        <v>0.8</v>
      </c>
      <c r="AR412" s="1">
        <v>0.8</v>
      </c>
    </row>
    <row r="413" ht="15.75" customHeight="1">
      <c r="A413" s="1" t="str">
        <f>CONCATENATE(Scores!A413,"+++",Scores!C413)</f>
        <v>James Madison+++Coastal Carolina</v>
      </c>
      <c r="B413" s="1">
        <f>Scores!B413</f>
        <v>39</v>
      </c>
      <c r="C413" s="1">
        <f t="array" ref="C413:W413">XLOOKUP(LEFT(A413,SEARCH("+",A413)-1),'Offensive Data'!$A$2:$A$134,'Offensive Data'!$D$2:$X$134)</f>
        <v>17.8</v>
      </c>
      <c r="D413" s="1">
        <v>29.4</v>
      </c>
      <c r="E413" s="1">
        <v>60.7</v>
      </c>
      <c r="F413" s="1">
        <v>216.1</v>
      </c>
      <c r="G413" s="1">
        <v>2.2</v>
      </c>
      <c r="H413" s="1">
        <v>40.0</v>
      </c>
      <c r="I413" s="1">
        <v>191.5</v>
      </c>
      <c r="J413" s="1">
        <v>4.8</v>
      </c>
      <c r="K413" s="1">
        <v>1.5</v>
      </c>
      <c r="L413" s="1">
        <v>69.4</v>
      </c>
      <c r="M413" s="1">
        <v>407.6</v>
      </c>
      <c r="N413" s="1">
        <v>5.9</v>
      </c>
      <c r="O413" s="1">
        <v>9.4</v>
      </c>
      <c r="P413" s="1">
        <v>10.0</v>
      </c>
      <c r="Q413" s="1">
        <v>1.3</v>
      </c>
      <c r="R413" s="1">
        <v>20.7</v>
      </c>
      <c r="S413" s="1">
        <v>7.0</v>
      </c>
      <c r="T413" s="1">
        <v>54.5</v>
      </c>
      <c r="U413" s="1">
        <v>0.4</v>
      </c>
      <c r="V413" s="1">
        <v>0.3</v>
      </c>
      <c r="W413" s="1">
        <v>0.7</v>
      </c>
      <c r="X413" s="1">
        <f t="array" ref="X413:AR413">XLOOKUP(MID(A413, SEARCH("+++", A413) + 3, LEN(A413)),'Defensive Data'!$A$2:$A$134,'Defensive Data'!$D$2:$X$134)</f>
        <v>18.3</v>
      </c>
      <c r="Y413" s="1">
        <v>29.9</v>
      </c>
      <c r="Z413" s="1">
        <v>61.2</v>
      </c>
      <c r="AA413" s="1">
        <v>227.8</v>
      </c>
      <c r="AB413" s="1">
        <v>1.8</v>
      </c>
      <c r="AC413" s="1">
        <v>39.4</v>
      </c>
      <c r="AD413" s="1">
        <v>186.8</v>
      </c>
      <c r="AE413" s="1">
        <v>4.7</v>
      </c>
      <c r="AF413" s="1">
        <v>1.7</v>
      </c>
      <c r="AG413" s="1">
        <v>69.3</v>
      </c>
      <c r="AH413" s="1">
        <v>414.6</v>
      </c>
      <c r="AI413" s="1">
        <v>6.0</v>
      </c>
      <c r="AJ413" s="1">
        <v>9.6</v>
      </c>
      <c r="AK413" s="1">
        <v>9.9</v>
      </c>
      <c r="AL413" s="1">
        <v>1.5</v>
      </c>
      <c r="AM413" s="1">
        <v>21.0</v>
      </c>
      <c r="AN413" s="1">
        <v>6.3</v>
      </c>
      <c r="AO413" s="1">
        <v>52.4</v>
      </c>
      <c r="AP413" s="1">
        <v>0.8</v>
      </c>
      <c r="AQ413" s="1">
        <v>0.8</v>
      </c>
      <c r="AR413" s="1">
        <v>1.7</v>
      </c>
    </row>
    <row r="414" ht="15.75" customHeight="1">
      <c r="A414" s="1" t="str">
        <f>CONCATENATE(Scores!A414,"+++",Scores!C414)</f>
        <v>Louisiana Tech+++Middle Tennessee State</v>
      </c>
      <c r="B414" s="1">
        <f>Scores!B414</f>
        <v>48</v>
      </c>
      <c r="C414" s="1">
        <f t="array" ref="C414:W414">XLOOKUP(LEFT(A414,SEARCH("+",A414)-1),'Offensive Data'!$A$2:$A$134,'Offensive Data'!$D$2:$X$134)</f>
        <v>19.7</v>
      </c>
      <c r="D414" s="1">
        <v>31.8</v>
      </c>
      <c r="E414" s="1">
        <v>62.0</v>
      </c>
      <c r="F414" s="1">
        <v>223.7</v>
      </c>
      <c r="G414" s="1">
        <v>1.4</v>
      </c>
      <c r="H414" s="1">
        <v>37.2</v>
      </c>
      <c r="I414" s="1">
        <v>109.2</v>
      </c>
      <c r="J414" s="1">
        <v>2.9</v>
      </c>
      <c r="K414" s="1">
        <v>1.1</v>
      </c>
      <c r="L414" s="1">
        <v>69.0</v>
      </c>
      <c r="M414" s="1">
        <v>332.9</v>
      </c>
      <c r="N414" s="1">
        <v>4.8</v>
      </c>
      <c r="O414" s="1">
        <v>9.7</v>
      </c>
      <c r="P414" s="1">
        <v>7.2</v>
      </c>
      <c r="Q414" s="1">
        <v>1.1</v>
      </c>
      <c r="R414" s="1">
        <v>17.9</v>
      </c>
      <c r="S414" s="1">
        <v>5.3</v>
      </c>
      <c r="T414" s="1">
        <v>50.6</v>
      </c>
      <c r="U414" s="1">
        <v>1.1</v>
      </c>
      <c r="V414" s="1">
        <v>0.6</v>
      </c>
      <c r="W414" s="1">
        <v>1.7</v>
      </c>
      <c r="X414" s="1">
        <f t="array" ref="X414:AR414">XLOOKUP(MID(A414, SEARCH("+++", A414) + 3, LEN(A414)),'Defensive Data'!$A$2:$A$134,'Defensive Data'!$D$2:$X$134)</f>
        <v>19.3</v>
      </c>
      <c r="Y414" s="1">
        <v>28.6</v>
      </c>
      <c r="Z414" s="1">
        <v>67.3</v>
      </c>
      <c r="AA414" s="1">
        <v>252.2</v>
      </c>
      <c r="AB414" s="1">
        <v>2.3</v>
      </c>
      <c r="AC414" s="1">
        <v>38.8</v>
      </c>
      <c r="AD414" s="1">
        <v>197.0</v>
      </c>
      <c r="AE414" s="1">
        <v>5.1</v>
      </c>
      <c r="AF414" s="1">
        <v>2.2</v>
      </c>
      <c r="AG414" s="1">
        <v>67.3</v>
      </c>
      <c r="AH414" s="1">
        <v>449.2</v>
      </c>
      <c r="AI414" s="1">
        <v>6.7</v>
      </c>
      <c r="AJ414" s="1">
        <v>11.6</v>
      </c>
      <c r="AK414" s="1">
        <v>10.3</v>
      </c>
      <c r="AL414" s="1">
        <v>1.5</v>
      </c>
      <c r="AM414" s="1">
        <v>23.4</v>
      </c>
      <c r="AN414" s="1">
        <v>5.5</v>
      </c>
      <c r="AO414" s="1">
        <v>50.9</v>
      </c>
      <c r="AP414" s="1">
        <v>0.4</v>
      </c>
      <c r="AQ414" s="1">
        <v>0.4</v>
      </c>
      <c r="AR414" s="1">
        <v>0.8</v>
      </c>
    </row>
    <row r="415" ht="15.75" customHeight="1">
      <c r="A415" s="1" t="str">
        <f>CONCATENATE(Scores!A415,"+++",Scores!C415)</f>
        <v>Western Kentucky+++Texas-El Paso</v>
      </c>
      <c r="B415" s="1">
        <f>Scores!B415</f>
        <v>44</v>
      </c>
      <c r="C415" s="1">
        <f t="array" ref="C415:W415">XLOOKUP(LEFT(A415,SEARCH("+",A415)-1),'Offensive Data'!$A$2:$A$134,'Offensive Data'!$D$2:$X$134)</f>
        <v>22.1</v>
      </c>
      <c r="D415" s="1">
        <v>33.6</v>
      </c>
      <c r="E415" s="1">
        <v>65.7</v>
      </c>
      <c r="F415" s="1">
        <v>264.6</v>
      </c>
      <c r="G415" s="1">
        <v>2.0</v>
      </c>
      <c r="H415" s="1">
        <v>31.4</v>
      </c>
      <c r="I415" s="1">
        <v>108.9</v>
      </c>
      <c r="J415" s="1">
        <v>3.5</v>
      </c>
      <c r="K415" s="1">
        <v>1.0</v>
      </c>
      <c r="L415" s="1">
        <v>65.0</v>
      </c>
      <c r="M415" s="1">
        <v>373.5</v>
      </c>
      <c r="N415" s="1">
        <v>5.7</v>
      </c>
      <c r="O415" s="1">
        <v>11.5</v>
      </c>
      <c r="P415" s="1">
        <v>6.4</v>
      </c>
      <c r="Q415" s="1">
        <v>1.4</v>
      </c>
      <c r="R415" s="1">
        <v>19.3</v>
      </c>
      <c r="S415" s="1">
        <v>4.1</v>
      </c>
      <c r="T415" s="1">
        <v>41.3</v>
      </c>
      <c r="U415" s="1">
        <v>0.9</v>
      </c>
      <c r="V415" s="1">
        <v>0.9</v>
      </c>
      <c r="W415" s="1">
        <v>1.7</v>
      </c>
      <c r="X415" s="1" t="str">
        <f t="array" ref="X415">XLOOKUP(MID(A415, SEARCH("+++", A415) + 3, LEN(A415)),'Defensive Data'!$A$2:$A$134,'Defensive Data'!$D$2:$X$134)</f>
        <v>#N/A</v>
      </c>
    </row>
    <row r="416" ht="15.75" customHeight="1">
      <c r="A416" s="1" t="str">
        <f>CONCATENATE(Scores!A416,"+++",Scores!C416)</f>
        <v>Arizona State+++ Utah</v>
      </c>
      <c r="B416" s="1">
        <f>Scores!B416</f>
        <v>27</v>
      </c>
      <c r="C416" s="1">
        <f t="array" ref="C416:W416">XLOOKUP(LEFT(A416,SEARCH("+",A416)-1),'Offensive Data'!$A$2:$A$134,'Offensive Data'!$D$2:$X$134)</f>
        <v>16.7</v>
      </c>
      <c r="D416" s="1">
        <v>27.3</v>
      </c>
      <c r="E416" s="1">
        <v>61.3</v>
      </c>
      <c r="F416" s="1">
        <v>229.5</v>
      </c>
      <c r="G416" s="1">
        <v>1.9</v>
      </c>
      <c r="H416" s="1">
        <v>42.2</v>
      </c>
      <c r="I416" s="1">
        <v>199.9</v>
      </c>
      <c r="J416" s="1">
        <v>4.7</v>
      </c>
      <c r="K416" s="1">
        <v>2.1</v>
      </c>
      <c r="L416" s="1">
        <v>69.5</v>
      </c>
      <c r="M416" s="1">
        <v>429.4</v>
      </c>
      <c r="N416" s="1">
        <v>6.2</v>
      </c>
      <c r="O416" s="1">
        <v>9.6</v>
      </c>
      <c r="P416" s="1">
        <v>11.1</v>
      </c>
      <c r="Q416" s="1">
        <v>1.8</v>
      </c>
      <c r="R416" s="1">
        <v>22.5</v>
      </c>
      <c r="S416" s="1">
        <v>6.4</v>
      </c>
      <c r="T416" s="1">
        <v>53.6</v>
      </c>
      <c r="U416" s="1">
        <v>0.2</v>
      </c>
      <c r="V416" s="1">
        <v>0.4</v>
      </c>
      <c r="W416" s="1">
        <v>0.6</v>
      </c>
      <c r="X416" s="1" t="str">
        <f t="array" ref="X416">XLOOKUP(MID(A416, SEARCH("+++", A416) + 3, LEN(A416)),'Defensive Data'!$A$2:$A$134,'Defensive Data'!$D$2:$X$134)</f>
        <v>#N/A</v>
      </c>
    </row>
    <row r="417" ht="15.75" customHeight="1">
      <c r="A417" s="1" t="str">
        <f>CONCATENATE(Scores!A417,"+++",Scores!C417)</f>
        <v>Nevada-Las Vegas+++Utah State</v>
      </c>
      <c r="B417" s="1">
        <f>Scores!B417</f>
        <v>50</v>
      </c>
      <c r="C417" s="1" t="str">
        <f t="array" ref="C417">XLOOKUP(LEFT(A417,SEARCH("+",A417)-1),'Offensive Data'!$A$2:$A$134,'Offensive Data'!$D$2:$X$134)</f>
        <v>#N/A</v>
      </c>
      <c r="X417" s="1">
        <f t="array" ref="X417:AR417">XLOOKUP(MID(A417, SEARCH("+++", A417) + 3, LEN(A417)),'Defensive Data'!$A$2:$A$134,'Defensive Data'!$D$2:$X$134)</f>
        <v>22.3</v>
      </c>
      <c r="Y417" s="1">
        <v>32.8</v>
      </c>
      <c r="Z417" s="1">
        <v>67.9</v>
      </c>
      <c r="AA417" s="1">
        <v>255.6</v>
      </c>
      <c r="AB417" s="1">
        <v>2.3</v>
      </c>
      <c r="AC417" s="1">
        <v>39.8</v>
      </c>
      <c r="AD417" s="1">
        <v>214.5</v>
      </c>
      <c r="AE417" s="1">
        <v>5.4</v>
      </c>
      <c r="AF417" s="1">
        <v>2.3</v>
      </c>
      <c r="AG417" s="1">
        <v>72.6</v>
      </c>
      <c r="AH417" s="1">
        <v>470.1</v>
      </c>
      <c r="AI417" s="1">
        <v>6.5</v>
      </c>
      <c r="AJ417" s="1">
        <v>12.3</v>
      </c>
      <c r="AK417" s="1">
        <v>9.3</v>
      </c>
      <c r="AL417" s="1">
        <v>1.8</v>
      </c>
      <c r="AM417" s="1">
        <v>23.4</v>
      </c>
      <c r="AN417" s="1">
        <v>7.5</v>
      </c>
      <c r="AO417" s="1">
        <v>59.4</v>
      </c>
      <c r="AP417" s="1">
        <v>0.3</v>
      </c>
      <c r="AQ417" s="1">
        <v>1.1</v>
      </c>
      <c r="AR417" s="1">
        <v>1.3</v>
      </c>
    </row>
    <row r="418" ht="15.75" customHeight="1">
      <c r="A418" s="1" t="str">
        <f>CONCATENATE(Scores!A418,"+++",Scores!C418)</f>
        <v>Northwestern+++Maryland</v>
      </c>
      <c r="B418" s="1">
        <f>Scores!B418</f>
        <v>37</v>
      </c>
      <c r="C418" s="1">
        <f t="array" ref="C418:W418">XLOOKUP(LEFT(A418,SEARCH("+",A418)-1),'Offensive Data'!$A$2:$A$134,'Offensive Data'!$D$2:$X$134)</f>
        <v>17.5</v>
      </c>
      <c r="D418" s="1">
        <v>32.6</v>
      </c>
      <c r="E418" s="1">
        <v>53.7</v>
      </c>
      <c r="F418" s="1">
        <v>185.9</v>
      </c>
      <c r="G418" s="1">
        <v>0.6</v>
      </c>
      <c r="H418" s="1">
        <v>29.6</v>
      </c>
      <c r="I418" s="1">
        <v>98.5</v>
      </c>
      <c r="J418" s="1">
        <v>3.3</v>
      </c>
      <c r="K418" s="1">
        <v>1.0</v>
      </c>
      <c r="L418" s="1">
        <v>62.2</v>
      </c>
      <c r="M418" s="1">
        <v>284.4</v>
      </c>
      <c r="N418" s="1">
        <v>4.6</v>
      </c>
      <c r="O418" s="1">
        <v>8.3</v>
      </c>
      <c r="P418" s="1">
        <v>6.3</v>
      </c>
      <c r="Q418" s="1">
        <v>1.3</v>
      </c>
      <c r="R418" s="1">
        <v>16.0</v>
      </c>
      <c r="S418" s="1">
        <v>4.8</v>
      </c>
      <c r="T418" s="1">
        <v>38.3</v>
      </c>
      <c r="U418" s="1">
        <v>0.6</v>
      </c>
      <c r="V418" s="1">
        <v>0.9</v>
      </c>
      <c r="W418" s="1">
        <v>1.5</v>
      </c>
      <c r="X418" s="1">
        <f t="array" ref="X418:AR418">XLOOKUP(MID(A418, SEARCH("+++", A418) + 3, LEN(A418)),'Defensive Data'!$A$2:$A$134,'Defensive Data'!$D$2:$X$134)</f>
        <v>20</v>
      </c>
      <c r="Y418" s="1">
        <v>32.0</v>
      </c>
      <c r="Z418" s="1">
        <v>62.5</v>
      </c>
      <c r="AA418" s="1">
        <v>241.3</v>
      </c>
      <c r="AB418" s="1">
        <v>1.8</v>
      </c>
      <c r="AC418" s="1">
        <v>35.6</v>
      </c>
      <c r="AD418" s="1">
        <v>136.8</v>
      </c>
      <c r="AE418" s="1">
        <v>3.8</v>
      </c>
      <c r="AF418" s="1">
        <v>1.6</v>
      </c>
      <c r="AG418" s="1">
        <v>67.6</v>
      </c>
      <c r="AH418" s="1">
        <v>378.1</v>
      </c>
      <c r="AI418" s="1">
        <v>5.6</v>
      </c>
      <c r="AJ418" s="1">
        <v>10.5</v>
      </c>
      <c r="AK418" s="1">
        <v>8.2</v>
      </c>
      <c r="AL418" s="1">
        <v>2.3</v>
      </c>
      <c r="AM418" s="1">
        <v>21.0</v>
      </c>
      <c r="AN418" s="1">
        <v>6.0</v>
      </c>
      <c r="AO418" s="1">
        <v>52.8</v>
      </c>
      <c r="AP418" s="1">
        <v>0.7</v>
      </c>
      <c r="AQ418" s="1">
        <v>0.8</v>
      </c>
      <c r="AR418" s="1">
        <v>1.4</v>
      </c>
    </row>
    <row r="419" ht="15.75" customHeight="1">
      <c r="A419" s="1" t="str">
        <f>CONCATENATE(Scores!A419,"+++",Scores!C419)</f>
        <v> Alabama+++South Carolina</v>
      </c>
      <c r="B419" s="1">
        <f>Scores!B419</f>
        <v>27</v>
      </c>
      <c r="C419" s="1" t="str">
        <f t="array" ref="C419">XLOOKUP(LEFT(A419,SEARCH("+",A419)-1),'Offensive Data'!$A$2:$A$134,'Offensive Data'!$D$2:$X$134)</f>
        <v>#N/A</v>
      </c>
      <c r="X419" s="1">
        <f t="array" ref="X419:AR419">XLOOKUP(MID(A419, SEARCH("+++", A419) + 3, LEN(A419)),'Defensive Data'!$A$2:$A$134,'Defensive Data'!$D$2:$X$134)</f>
        <v>17.6</v>
      </c>
      <c r="Y419" s="1">
        <v>30.5</v>
      </c>
      <c r="Z419" s="1">
        <v>57.7</v>
      </c>
      <c r="AA419" s="1">
        <v>204.4</v>
      </c>
      <c r="AB419" s="1">
        <v>0.8</v>
      </c>
      <c r="AC419" s="1">
        <v>34.9</v>
      </c>
      <c r="AD419" s="1">
        <v>112.2</v>
      </c>
      <c r="AE419" s="1">
        <v>3.2</v>
      </c>
      <c r="AF419" s="1">
        <v>1.4</v>
      </c>
      <c r="AG419" s="1">
        <v>65.5</v>
      </c>
      <c r="AH419" s="1">
        <v>316.6</v>
      </c>
      <c r="AI419" s="1">
        <v>4.8</v>
      </c>
      <c r="AJ419" s="1">
        <v>9.1</v>
      </c>
      <c r="AK419" s="1">
        <v>7.3</v>
      </c>
      <c r="AL419" s="1">
        <v>1.7</v>
      </c>
      <c r="AM419" s="1">
        <v>18.1</v>
      </c>
      <c r="AN419" s="1">
        <v>5.9</v>
      </c>
      <c r="AO419" s="1">
        <v>49.6</v>
      </c>
      <c r="AP419" s="1">
        <v>0.8</v>
      </c>
      <c r="AQ419" s="1">
        <v>1.1</v>
      </c>
      <c r="AR419" s="1">
        <v>1.8</v>
      </c>
    </row>
    <row r="420" ht="15.75" customHeight="1">
      <c r="A420" s="1" t="str">
        <f>CONCATENATE(Scores!A420,"+++",Scores!C420)</f>
        <v>Army+++Alabama-Birmingham</v>
      </c>
      <c r="B420" s="1">
        <f>Scores!B420</f>
        <v>44</v>
      </c>
      <c r="C420" s="1">
        <f t="array" ref="C420:W420">XLOOKUP(LEFT(A420,SEARCH("+",A420)-1),'Offensive Data'!$A$2:$A$134,'Offensive Data'!$D$2:$X$134)</f>
        <v>4.7</v>
      </c>
      <c r="D420" s="1">
        <v>8.7</v>
      </c>
      <c r="E420" s="1">
        <v>54.1</v>
      </c>
      <c r="F420" s="1">
        <v>80.6</v>
      </c>
      <c r="G420" s="1">
        <v>0.7</v>
      </c>
      <c r="H420" s="1">
        <v>54.6</v>
      </c>
      <c r="I420" s="1">
        <v>300.5</v>
      </c>
      <c r="J420" s="1">
        <v>5.5</v>
      </c>
      <c r="K420" s="1">
        <v>3.4</v>
      </c>
      <c r="L420" s="1">
        <v>63.3</v>
      </c>
      <c r="M420" s="1">
        <v>381.1</v>
      </c>
      <c r="N420" s="1">
        <v>6.0</v>
      </c>
      <c r="O420" s="1">
        <v>3.1</v>
      </c>
      <c r="P420" s="1">
        <v>16.4</v>
      </c>
      <c r="Q420" s="1">
        <v>1.3</v>
      </c>
      <c r="R420" s="1">
        <v>20.9</v>
      </c>
      <c r="S420" s="1">
        <v>3.2</v>
      </c>
      <c r="T420" s="1">
        <v>31.5</v>
      </c>
      <c r="U420" s="1">
        <v>0.4</v>
      </c>
      <c r="V420" s="1">
        <v>0.3</v>
      </c>
      <c r="W420" s="1">
        <v>0.6</v>
      </c>
      <c r="X420" s="1" t="str">
        <f t="array" ref="X420">XLOOKUP(MID(A420, SEARCH("+++", A420) + 3, LEN(A420)),'Defensive Data'!$A$2:$A$134,'Defensive Data'!$D$2:$X$134)</f>
        <v>#N/A</v>
      </c>
    </row>
    <row r="421" ht="15.75" customHeight="1">
      <c r="A421" s="1" t="str">
        <f>CONCATENATE(Scores!A421,"+++",Scores!C421)</f>
        <v>Ball State+++Kent State</v>
      </c>
      <c r="B421" s="1">
        <f>Scores!B421</f>
        <v>37</v>
      </c>
      <c r="C421" s="1">
        <f t="array" ref="C421:W421">XLOOKUP(LEFT(A421,SEARCH("+",A421)-1),'Offensive Data'!$A$2:$A$134,'Offensive Data'!$D$2:$X$134)</f>
        <v>23.3</v>
      </c>
      <c r="D421" s="1">
        <v>36.6</v>
      </c>
      <c r="E421" s="1">
        <v>63.8</v>
      </c>
      <c r="F421" s="1">
        <v>245.0</v>
      </c>
      <c r="G421" s="1">
        <v>2.2</v>
      </c>
      <c r="H421" s="1">
        <v>31.1</v>
      </c>
      <c r="I421" s="1">
        <v>102.8</v>
      </c>
      <c r="J421" s="1">
        <v>3.3</v>
      </c>
      <c r="K421" s="1">
        <v>0.8</v>
      </c>
      <c r="L421" s="1">
        <v>67.7</v>
      </c>
      <c r="M421" s="1">
        <v>347.8</v>
      </c>
      <c r="N421" s="1">
        <v>5.1</v>
      </c>
      <c r="O421" s="1">
        <v>11.2</v>
      </c>
      <c r="P421" s="1">
        <v>7.2</v>
      </c>
      <c r="Q421" s="1">
        <v>1.9</v>
      </c>
      <c r="R421" s="1">
        <v>20.3</v>
      </c>
      <c r="S421" s="1">
        <v>4.9</v>
      </c>
      <c r="T421" s="1">
        <v>45.3</v>
      </c>
      <c r="U421" s="1">
        <v>0.3</v>
      </c>
      <c r="V421" s="1">
        <v>0.9</v>
      </c>
      <c r="W421" s="1">
        <v>1.2</v>
      </c>
      <c r="X421" s="1" t="str">
        <f t="array" ref="X421">XLOOKUP(MID(A421, SEARCH("+++", A421) + 3, LEN(A421)),'Defensive Data'!$A$2:$A$134,'Defensive Data'!$D$2:$X$134)</f>
        <v>#N/A</v>
      </c>
    </row>
    <row r="422" ht="15.75" customHeight="1">
      <c r="A422" s="1" t="str">
        <f>CONCATENATE(Scores!A422,"+++",Scores!C422)</f>
        <v> Boise State+++Hawaii</v>
      </c>
      <c r="B422" s="1">
        <f>Scores!B422</f>
        <v>28</v>
      </c>
      <c r="C422" s="1" t="str">
        <f t="array" ref="C422">XLOOKUP(LEFT(A422,SEARCH("+",A422)-1),'Offensive Data'!$A$2:$A$134,'Offensive Data'!$D$2:$X$134)</f>
        <v>#N/A</v>
      </c>
      <c r="X422" s="1">
        <f t="array" ref="X422:AR422">XLOOKUP(MID(A422, SEARCH("+++", A422) + 3, LEN(A422)),'Defensive Data'!$A$2:$A$134,'Defensive Data'!$D$2:$X$134)</f>
        <v>19.9</v>
      </c>
      <c r="Y422" s="1">
        <v>30.5</v>
      </c>
      <c r="Z422" s="1">
        <v>65.3</v>
      </c>
      <c r="AA422" s="1">
        <v>211.3</v>
      </c>
      <c r="AB422" s="1">
        <v>1.5</v>
      </c>
      <c r="AC422" s="1">
        <v>35.5</v>
      </c>
      <c r="AD422" s="1">
        <v>165.7</v>
      </c>
      <c r="AE422" s="1">
        <v>4.7</v>
      </c>
      <c r="AF422" s="1">
        <v>1.7</v>
      </c>
      <c r="AG422" s="1">
        <v>66.0</v>
      </c>
      <c r="AH422" s="1">
        <v>376.9</v>
      </c>
      <c r="AI422" s="1">
        <v>5.7</v>
      </c>
      <c r="AJ422" s="1">
        <v>9.3</v>
      </c>
      <c r="AK422" s="1">
        <v>8.5</v>
      </c>
      <c r="AL422" s="1">
        <v>2.6</v>
      </c>
      <c r="AM422" s="1">
        <v>20.3</v>
      </c>
      <c r="AN422" s="1">
        <v>6.9</v>
      </c>
      <c r="AO422" s="1">
        <v>68.3</v>
      </c>
      <c r="AP422" s="1">
        <v>0.4</v>
      </c>
      <c r="AQ422" s="1">
        <v>0.5</v>
      </c>
      <c r="AR422" s="1">
        <v>0.9</v>
      </c>
    </row>
    <row r="423" ht="15.75" customHeight="1">
      <c r="A423" s="1" t="str">
        <f>CONCATENATE(Scores!A423,"+++",Scores!C423)</f>
        <v> Brigham Young+++Arizona</v>
      </c>
      <c r="B423" s="1">
        <f>Scores!B423</f>
        <v>41</v>
      </c>
      <c r="C423" s="1" t="str">
        <f t="array" ref="C423">XLOOKUP(LEFT(A423,SEARCH("+",A423)-1),'Offensive Data'!$A$2:$A$134,'Offensive Data'!$D$2:$X$134)</f>
        <v>#N/A</v>
      </c>
      <c r="X423" s="1">
        <f t="array" ref="X423:AR423">XLOOKUP(MID(A423, SEARCH("+++", A423) + 3, LEN(A423)),'Defensive Data'!$A$2:$A$134,'Defensive Data'!$D$2:$X$134)</f>
        <v>18.8</v>
      </c>
      <c r="Y423" s="1">
        <v>29.6</v>
      </c>
      <c r="Z423" s="1">
        <v>63.7</v>
      </c>
      <c r="AA423" s="1">
        <v>239.0</v>
      </c>
      <c r="AB423" s="1">
        <v>1.8</v>
      </c>
      <c r="AC423" s="1">
        <v>35.8</v>
      </c>
      <c r="AD423" s="1">
        <v>174.0</v>
      </c>
      <c r="AE423" s="1">
        <v>4.9</v>
      </c>
      <c r="AF423" s="1">
        <v>2.1</v>
      </c>
      <c r="AG423" s="1">
        <v>65.4</v>
      </c>
      <c r="AH423" s="1">
        <v>413.0</v>
      </c>
      <c r="AI423" s="1">
        <v>6.3</v>
      </c>
      <c r="AJ423" s="1">
        <v>9.8</v>
      </c>
      <c r="AK423" s="1">
        <v>9.4</v>
      </c>
      <c r="AL423" s="1">
        <v>1.8</v>
      </c>
      <c r="AM423" s="1">
        <v>21.0</v>
      </c>
      <c r="AN423" s="1">
        <v>5.0</v>
      </c>
      <c r="AO423" s="1">
        <v>44.5</v>
      </c>
      <c r="AP423" s="1">
        <v>0.7</v>
      </c>
      <c r="AQ423" s="1">
        <v>0.7</v>
      </c>
      <c r="AR423" s="1">
        <v>1.3</v>
      </c>
    </row>
    <row r="424" ht="15.75" customHeight="1">
      <c r="A424" s="1" t="str">
        <f>CONCATENATE(Scores!A424,"+++",Scores!C424)</f>
        <v>Buffalo+++Toledo</v>
      </c>
      <c r="B424" s="1">
        <f>Scores!B424</f>
        <v>30</v>
      </c>
      <c r="C424" s="1">
        <f t="array" ref="C424:W424">XLOOKUP(LEFT(A424,SEARCH("+",A424)-1),'Offensive Data'!$A$2:$A$134,'Offensive Data'!$D$2:$X$134)</f>
        <v>14.9</v>
      </c>
      <c r="D424" s="1">
        <v>26.7</v>
      </c>
      <c r="E424" s="1">
        <v>55.9</v>
      </c>
      <c r="F424" s="1">
        <v>186.3</v>
      </c>
      <c r="G424" s="1">
        <v>1.5</v>
      </c>
      <c r="H424" s="1">
        <v>41.0</v>
      </c>
      <c r="I424" s="1">
        <v>169.1</v>
      </c>
      <c r="J424" s="1">
        <v>4.1</v>
      </c>
      <c r="K424" s="1">
        <v>1.8</v>
      </c>
      <c r="L424" s="1">
        <v>67.7</v>
      </c>
      <c r="M424" s="1">
        <v>355.4</v>
      </c>
      <c r="N424" s="1">
        <v>5.3</v>
      </c>
      <c r="O424" s="1">
        <v>7.9</v>
      </c>
      <c r="P424" s="1">
        <v>9.2</v>
      </c>
      <c r="Q424" s="1">
        <v>1.4</v>
      </c>
      <c r="R424" s="1">
        <v>18.5</v>
      </c>
      <c r="S424" s="1">
        <v>4.5</v>
      </c>
      <c r="T424" s="1">
        <v>43.4</v>
      </c>
      <c r="U424" s="1">
        <v>0.5</v>
      </c>
      <c r="V424" s="1">
        <v>0.5</v>
      </c>
      <c r="W424" s="1">
        <v>1.0</v>
      </c>
      <c r="X424" s="1">
        <f t="array" ref="X424:AR424">XLOOKUP(MID(A424, SEARCH("+++", A424) + 3, LEN(A424)),'Defensive Data'!$A$2:$A$134,'Defensive Data'!$D$2:$X$134)</f>
        <v>18.8</v>
      </c>
      <c r="Y424" s="1">
        <v>32.8</v>
      </c>
      <c r="Z424" s="1">
        <v>57.5</v>
      </c>
      <c r="AA424" s="1">
        <v>207.9</v>
      </c>
      <c r="AB424" s="1">
        <v>1.2</v>
      </c>
      <c r="AC424" s="1">
        <v>40.4</v>
      </c>
      <c r="AD424" s="1">
        <v>150.7</v>
      </c>
      <c r="AE424" s="1">
        <v>3.7</v>
      </c>
      <c r="AF424" s="1">
        <v>1.2</v>
      </c>
      <c r="AG424" s="1">
        <v>73.2</v>
      </c>
      <c r="AH424" s="1">
        <v>358.6</v>
      </c>
      <c r="AI424" s="1">
        <v>4.9</v>
      </c>
      <c r="AJ424" s="1">
        <v>9.7</v>
      </c>
      <c r="AK424" s="1">
        <v>8.8</v>
      </c>
      <c r="AL424" s="1">
        <v>1.9</v>
      </c>
      <c r="AM424" s="1">
        <v>20.5</v>
      </c>
      <c r="AN424" s="1">
        <v>6.9</v>
      </c>
      <c r="AO424" s="1">
        <v>63.8</v>
      </c>
      <c r="AP424" s="1">
        <v>0.5</v>
      </c>
      <c r="AQ424" s="1">
        <v>1.0</v>
      </c>
      <c r="AR424" s="1">
        <v>1.5</v>
      </c>
    </row>
    <row r="425" ht="15.75" customHeight="1">
      <c r="A425" s="1" t="str">
        <f>CONCATENATE(Scores!A425,"+++",Scores!C425)</f>
        <v>Cincinnati+++Central Florida</v>
      </c>
      <c r="B425" s="1">
        <f>Scores!B425</f>
        <v>19</v>
      </c>
      <c r="C425" s="1">
        <f t="array" ref="C425:W425">XLOOKUP(LEFT(A425,SEARCH("+",A425)-1),'Offensive Data'!$A$2:$A$134,'Offensive Data'!$D$2:$X$134)</f>
        <v>21</v>
      </c>
      <c r="D425" s="1">
        <v>32.9</v>
      </c>
      <c r="E425" s="1">
        <v>63.8</v>
      </c>
      <c r="F425" s="1">
        <v>236.5</v>
      </c>
      <c r="G425" s="1">
        <v>1.5</v>
      </c>
      <c r="H425" s="1">
        <v>35.6</v>
      </c>
      <c r="I425" s="1">
        <v>184.1</v>
      </c>
      <c r="J425" s="1">
        <v>5.2</v>
      </c>
      <c r="K425" s="1">
        <v>1.6</v>
      </c>
      <c r="L425" s="1">
        <v>68.5</v>
      </c>
      <c r="M425" s="1">
        <v>420.6</v>
      </c>
      <c r="N425" s="1">
        <v>6.1</v>
      </c>
      <c r="O425" s="1">
        <v>11.7</v>
      </c>
      <c r="P425" s="1">
        <v>9.0</v>
      </c>
      <c r="Q425" s="1">
        <v>1.4</v>
      </c>
      <c r="R425" s="1">
        <v>22.1</v>
      </c>
      <c r="S425" s="1">
        <v>5.3</v>
      </c>
      <c r="T425" s="1">
        <v>44.4</v>
      </c>
      <c r="U425" s="1">
        <v>0.9</v>
      </c>
      <c r="V425" s="1">
        <v>0.6</v>
      </c>
      <c r="W425" s="1">
        <v>1.5</v>
      </c>
      <c r="X425" s="1" t="str">
        <f t="array" ref="X425">XLOOKUP(MID(A425, SEARCH("+++", A425) + 3, LEN(A425)),'Defensive Data'!$A$2:$A$134,'Defensive Data'!$D$2:$X$134)</f>
        <v>#N/A</v>
      </c>
    </row>
    <row r="426" ht="15.75" customHeight="1">
      <c r="A426" s="1" t="str">
        <f>CONCATENATE(Scores!A426,"+++",Scores!C426)</f>
        <v> Clemson+++Wake Forest</v>
      </c>
      <c r="B426" s="1">
        <f>Scores!B426</f>
        <v>49</v>
      </c>
      <c r="C426" s="1" t="str">
        <f t="array" ref="C426">XLOOKUP(LEFT(A426,SEARCH("+",A426)-1),'Offensive Data'!$A$2:$A$134,'Offensive Data'!$D$2:$X$134)</f>
        <v>#N/A</v>
      </c>
      <c r="X426" s="1">
        <f t="array" ref="X426:AR426">XLOOKUP(MID(A426, SEARCH("+++", A426) + 3, LEN(A426)),'Defensive Data'!$A$2:$A$134,'Defensive Data'!$D$2:$X$134)</f>
        <v>26.7</v>
      </c>
      <c r="Y426" s="1">
        <v>37.9</v>
      </c>
      <c r="Z426" s="1">
        <v>70.3</v>
      </c>
      <c r="AA426" s="1">
        <v>277.8</v>
      </c>
      <c r="AB426" s="1">
        <v>1.9</v>
      </c>
      <c r="AC426" s="1">
        <v>34.5</v>
      </c>
      <c r="AD426" s="1">
        <v>157.2</v>
      </c>
      <c r="AE426" s="1">
        <v>4.6</v>
      </c>
      <c r="AF426" s="1">
        <v>1.7</v>
      </c>
      <c r="AG426" s="1">
        <v>72.4</v>
      </c>
      <c r="AH426" s="1">
        <v>435.0</v>
      </c>
      <c r="AI426" s="1">
        <v>6.0</v>
      </c>
      <c r="AJ426" s="1">
        <v>14.2</v>
      </c>
      <c r="AK426" s="1">
        <v>10.1</v>
      </c>
      <c r="AL426" s="1">
        <v>1.2</v>
      </c>
      <c r="AM426" s="1">
        <v>25.4</v>
      </c>
      <c r="AN426" s="1">
        <v>6.2</v>
      </c>
      <c r="AO426" s="1">
        <v>58.5</v>
      </c>
      <c r="AP426" s="1">
        <v>0.5</v>
      </c>
      <c r="AQ426" s="1">
        <v>0.9</v>
      </c>
      <c r="AR426" s="1">
        <v>1.4</v>
      </c>
    </row>
    <row r="427" ht="15.75" customHeight="1">
      <c r="A427" s="1" t="str">
        <f>CONCATENATE(Scores!A427,"+++",Scores!C427)</f>
        <v>Colorado State+++San Jose State</v>
      </c>
      <c r="B427" s="1">
        <f>Scores!B427</f>
        <v>31</v>
      </c>
      <c r="C427" s="1">
        <f t="array" ref="C427:W427">XLOOKUP(LEFT(A427,SEARCH("+",A427)-1),'Offensive Data'!$A$2:$A$134,'Offensive Data'!$D$2:$X$134)</f>
        <v>18.2</v>
      </c>
      <c r="D427" s="1">
        <v>30.0</v>
      </c>
      <c r="E427" s="1">
        <v>60.5</v>
      </c>
      <c r="F427" s="1">
        <v>219.5</v>
      </c>
      <c r="G427" s="1">
        <v>1.2</v>
      </c>
      <c r="H427" s="1">
        <v>35.6</v>
      </c>
      <c r="I427" s="1">
        <v>168.2</v>
      </c>
      <c r="J427" s="1">
        <v>4.7</v>
      </c>
      <c r="K427" s="1">
        <v>1.5</v>
      </c>
      <c r="L427" s="1">
        <v>65.6</v>
      </c>
      <c r="M427" s="1">
        <v>387.6</v>
      </c>
      <c r="N427" s="1">
        <v>5.9</v>
      </c>
      <c r="O427" s="1">
        <v>8.7</v>
      </c>
      <c r="P427" s="1">
        <v>7.9</v>
      </c>
      <c r="Q427" s="1">
        <v>1.3</v>
      </c>
      <c r="R427" s="1">
        <v>17.9</v>
      </c>
      <c r="S427" s="1">
        <v>6.5</v>
      </c>
      <c r="T427" s="1">
        <v>51.5</v>
      </c>
      <c r="U427" s="1">
        <v>0.8</v>
      </c>
      <c r="V427" s="1">
        <v>0.8</v>
      </c>
      <c r="W427" s="1">
        <v>1.5</v>
      </c>
      <c r="X427" s="1">
        <f t="array" ref="X427:AR427">XLOOKUP(MID(A427, SEARCH("+++", A427) + 3, LEN(A427)),'Defensive Data'!$A$2:$A$134,'Defensive Data'!$D$2:$X$134)</f>
        <v>20.6</v>
      </c>
      <c r="Y427" s="1">
        <v>33.5</v>
      </c>
      <c r="Z427" s="1">
        <v>61.6</v>
      </c>
      <c r="AA427" s="1">
        <v>232.8</v>
      </c>
      <c r="AB427" s="1">
        <v>1.2</v>
      </c>
      <c r="AC427" s="1">
        <v>41.9</v>
      </c>
      <c r="AD427" s="1">
        <v>147.8</v>
      </c>
      <c r="AE427" s="1">
        <v>3.5</v>
      </c>
      <c r="AF427" s="1">
        <v>1.9</v>
      </c>
      <c r="AG427" s="1">
        <v>75.4</v>
      </c>
      <c r="AH427" s="1">
        <v>380.6</v>
      </c>
      <c r="AI427" s="1">
        <v>5.0</v>
      </c>
      <c r="AJ427" s="1">
        <v>10.2</v>
      </c>
      <c r="AK427" s="1">
        <v>9.5</v>
      </c>
      <c r="AL427" s="1">
        <v>1.7</v>
      </c>
      <c r="AM427" s="1">
        <v>21.5</v>
      </c>
      <c r="AN427" s="1">
        <v>8.2</v>
      </c>
      <c r="AO427" s="1">
        <v>75.2</v>
      </c>
      <c r="AP427" s="1">
        <v>0.5</v>
      </c>
      <c r="AQ427" s="1">
        <v>1.6</v>
      </c>
      <c r="AR427" s="1">
        <v>2.2</v>
      </c>
    </row>
    <row r="428" ht="15.75" customHeight="1">
      <c r="A428" s="1" t="str">
        <f>CONCATENATE(Scores!A428,"+++",Scores!C428)</f>
        <v> Georgia+++Mississippi State</v>
      </c>
      <c r="B428" s="1">
        <f>Scores!B428</f>
        <v>41</v>
      </c>
      <c r="C428" s="1" t="str">
        <f t="array" ref="C428">XLOOKUP(LEFT(A428,SEARCH("+",A428)-1),'Offensive Data'!$A$2:$A$134,'Offensive Data'!$D$2:$X$134)</f>
        <v>#N/A</v>
      </c>
      <c r="X428" s="1">
        <f t="array" ref="X428:AR428">XLOOKUP(MID(A428, SEARCH("+++", A428) + 3, LEN(A428)),'Defensive Data'!$A$2:$A$134,'Defensive Data'!$D$2:$X$134)</f>
        <v>20</v>
      </c>
      <c r="Y428" s="1">
        <v>28.4</v>
      </c>
      <c r="Z428" s="1">
        <v>70.4</v>
      </c>
      <c r="AA428" s="1">
        <v>239.5</v>
      </c>
      <c r="AB428" s="1">
        <v>1.9</v>
      </c>
      <c r="AC428" s="1">
        <v>43.6</v>
      </c>
      <c r="AD428" s="1">
        <v>216.9</v>
      </c>
      <c r="AE428" s="1">
        <v>5.0</v>
      </c>
      <c r="AF428" s="1">
        <v>2.0</v>
      </c>
      <c r="AG428" s="1">
        <v>72.0</v>
      </c>
      <c r="AH428" s="1">
        <v>456.4</v>
      </c>
      <c r="AI428" s="1">
        <v>6.3</v>
      </c>
      <c r="AJ428" s="1">
        <v>11.3</v>
      </c>
      <c r="AK428" s="1">
        <v>10.8</v>
      </c>
      <c r="AL428" s="1">
        <v>1.8</v>
      </c>
      <c r="AM428" s="1">
        <v>23.8</v>
      </c>
      <c r="AN428" s="1">
        <v>6.3</v>
      </c>
      <c r="AO428" s="1">
        <v>58.8</v>
      </c>
      <c r="AP428" s="1">
        <v>0.4</v>
      </c>
      <c r="AQ428" s="1">
        <v>0.6</v>
      </c>
      <c r="AR428" s="1">
        <v>1.0</v>
      </c>
    </row>
    <row r="429" ht="15.75" customHeight="1">
      <c r="A429" s="1" t="str">
        <f>CONCATENATE(Scores!A429,"+++",Scores!C429)</f>
        <v>Georgia Southern+++Marshall</v>
      </c>
      <c r="B429" s="1">
        <f>Scores!B429</f>
        <v>24</v>
      </c>
      <c r="C429" s="1">
        <f t="array" ref="C429:W429">XLOOKUP(LEFT(A429,SEARCH("+",A429)-1),'Offensive Data'!$A$2:$A$134,'Offensive Data'!$D$2:$X$134)</f>
        <v>22.2</v>
      </c>
      <c r="D429" s="1">
        <v>34.3</v>
      </c>
      <c r="E429" s="1">
        <v>64.8</v>
      </c>
      <c r="F429" s="1">
        <v>237.8</v>
      </c>
      <c r="G429" s="1">
        <v>1.6</v>
      </c>
      <c r="H429" s="1">
        <v>34.4</v>
      </c>
      <c r="I429" s="1">
        <v>128.4</v>
      </c>
      <c r="J429" s="1">
        <v>3.7</v>
      </c>
      <c r="K429" s="1">
        <v>1.8</v>
      </c>
      <c r="L429" s="1">
        <v>68.7</v>
      </c>
      <c r="M429" s="1">
        <v>366.2</v>
      </c>
      <c r="N429" s="1">
        <v>5.3</v>
      </c>
      <c r="O429" s="1">
        <v>10.7</v>
      </c>
      <c r="P429" s="1">
        <v>8.4</v>
      </c>
      <c r="Q429" s="1">
        <v>2.7</v>
      </c>
      <c r="R429" s="1">
        <v>21.8</v>
      </c>
      <c r="S429" s="1">
        <v>5.6</v>
      </c>
      <c r="T429" s="1">
        <v>48.3</v>
      </c>
      <c r="U429" s="1">
        <v>0.8</v>
      </c>
      <c r="V429" s="1">
        <v>0.8</v>
      </c>
      <c r="W429" s="1">
        <v>1.7</v>
      </c>
      <c r="X429" s="1">
        <f t="array" ref="X429:AR429">XLOOKUP(MID(A429, SEARCH("+++", A429) + 3, LEN(A429)),'Defensive Data'!$A$2:$A$134,'Defensive Data'!$D$2:$X$134)</f>
        <v>16.8</v>
      </c>
      <c r="Y429" s="1">
        <v>29.4</v>
      </c>
      <c r="Z429" s="1">
        <v>57.3</v>
      </c>
      <c r="AA429" s="1">
        <v>199.1</v>
      </c>
      <c r="AB429" s="1">
        <v>1.2</v>
      </c>
      <c r="AC429" s="1">
        <v>40.5</v>
      </c>
      <c r="AD429" s="1">
        <v>179.0</v>
      </c>
      <c r="AE429" s="1">
        <v>4.4</v>
      </c>
      <c r="AF429" s="1">
        <v>1.6</v>
      </c>
      <c r="AG429" s="1">
        <v>69.9</v>
      </c>
      <c r="AH429" s="1">
        <v>378.1</v>
      </c>
      <c r="AI429" s="1">
        <v>5.4</v>
      </c>
      <c r="AJ429" s="1">
        <v>9.1</v>
      </c>
      <c r="AK429" s="1">
        <v>9.2</v>
      </c>
      <c r="AL429" s="1">
        <v>1.5</v>
      </c>
      <c r="AM429" s="1">
        <v>19.8</v>
      </c>
      <c r="AN429" s="1">
        <v>7.0</v>
      </c>
      <c r="AO429" s="1">
        <v>61.4</v>
      </c>
      <c r="AP429" s="1">
        <v>0.5</v>
      </c>
      <c r="AQ429" s="1">
        <v>1.0</v>
      </c>
      <c r="AR429" s="1">
        <v>1.5</v>
      </c>
    </row>
    <row r="430" ht="15.75" customHeight="1">
      <c r="A430" s="1" t="str">
        <f>CONCATENATE(Scores!A430,"+++",Scores!C430)</f>
        <v>Georgia Tech+++North Carolina</v>
      </c>
      <c r="B430" s="1">
        <f>Scores!B430</f>
        <v>41</v>
      </c>
      <c r="C430" s="1">
        <f t="array" ref="C430:W430">XLOOKUP(LEFT(A430,SEARCH("+",A430)-1),'Offensive Data'!$A$2:$A$134,'Offensive Data'!$D$2:$X$134)</f>
        <v>20.7</v>
      </c>
      <c r="D430" s="1">
        <v>31.7</v>
      </c>
      <c r="E430" s="1">
        <v>65.3</v>
      </c>
      <c r="F430" s="1">
        <v>237.5</v>
      </c>
      <c r="G430" s="1">
        <v>1.3</v>
      </c>
      <c r="H430" s="1">
        <v>37.8</v>
      </c>
      <c r="I430" s="1">
        <v>187.0</v>
      </c>
      <c r="J430" s="1">
        <v>5.0</v>
      </c>
      <c r="K430" s="1">
        <v>2.2</v>
      </c>
      <c r="L430" s="1">
        <v>69.5</v>
      </c>
      <c r="M430" s="1">
        <v>424.5</v>
      </c>
      <c r="N430" s="1">
        <v>6.1</v>
      </c>
      <c r="O430" s="1">
        <v>10.6</v>
      </c>
      <c r="P430" s="1">
        <v>9.7</v>
      </c>
      <c r="Q430" s="1">
        <v>1.3</v>
      </c>
      <c r="R430" s="1">
        <v>21.6</v>
      </c>
      <c r="S430" s="1">
        <v>5.4</v>
      </c>
      <c r="T430" s="1">
        <v>43.3</v>
      </c>
      <c r="U430" s="1">
        <v>0.2</v>
      </c>
      <c r="V430" s="1">
        <v>0.5</v>
      </c>
      <c r="W430" s="1">
        <v>0.8</v>
      </c>
      <c r="X430" s="1">
        <f t="array" ref="X430:AR430">XLOOKUP(MID(A430, SEARCH("+++", A430) + 3, LEN(A430)),'Defensive Data'!$A$2:$A$134,'Defensive Data'!$D$2:$X$134)</f>
        <v>16.7</v>
      </c>
      <c r="Y430" s="1">
        <v>28.8</v>
      </c>
      <c r="Z430" s="1">
        <v>58.0</v>
      </c>
      <c r="AA430" s="1">
        <v>226.3</v>
      </c>
      <c r="AB430" s="1">
        <v>1.5</v>
      </c>
      <c r="AC430" s="1">
        <v>37.9</v>
      </c>
      <c r="AD430" s="1">
        <v>149.5</v>
      </c>
      <c r="AE430" s="1">
        <v>3.9</v>
      </c>
      <c r="AF430" s="1">
        <v>1.6</v>
      </c>
      <c r="AG430" s="1">
        <v>66.7</v>
      </c>
      <c r="AH430" s="1">
        <v>375.8</v>
      </c>
      <c r="AI430" s="1">
        <v>5.6</v>
      </c>
      <c r="AJ430" s="1">
        <v>8.5</v>
      </c>
      <c r="AK430" s="1">
        <v>8.8</v>
      </c>
      <c r="AL430" s="1">
        <v>2.1</v>
      </c>
      <c r="AM430" s="1">
        <v>19.5</v>
      </c>
      <c r="AN430" s="1">
        <v>6.7</v>
      </c>
      <c r="AO430" s="1">
        <v>59.4</v>
      </c>
      <c r="AP430" s="1">
        <v>0.5</v>
      </c>
      <c r="AQ430" s="1">
        <v>0.7</v>
      </c>
      <c r="AR430" s="1">
        <v>1.2</v>
      </c>
    </row>
    <row r="431" ht="15.75" customHeight="1">
      <c r="A431" s="1" t="str">
        <f>CONCATENATE(Scores!A431,"+++",Scores!C431)</f>
        <v> Illinois+++Purdue</v>
      </c>
      <c r="B431" s="1">
        <f>Scores!B431</f>
        <v>50</v>
      </c>
      <c r="C431" s="1" t="str">
        <f t="array" ref="C431">XLOOKUP(LEFT(A431,SEARCH("+",A431)-1),'Offensive Data'!$A$2:$A$134,'Offensive Data'!$D$2:$X$134)</f>
        <v>#N/A</v>
      </c>
      <c r="X431" s="1">
        <f t="array" ref="X431:AR431">XLOOKUP(MID(A431, SEARCH("+++", A431) + 3, LEN(A431)),'Defensive Data'!$A$2:$A$134,'Defensive Data'!$D$2:$X$134)</f>
        <v>18.2</v>
      </c>
      <c r="Y431" s="1">
        <v>27.6</v>
      </c>
      <c r="Z431" s="1">
        <v>65.9</v>
      </c>
      <c r="AA431" s="1">
        <v>252.7</v>
      </c>
      <c r="AB431" s="1">
        <v>2.3</v>
      </c>
      <c r="AC431" s="1">
        <v>39.3</v>
      </c>
      <c r="AD431" s="1">
        <v>200.0</v>
      </c>
      <c r="AE431" s="1">
        <v>5.1</v>
      </c>
      <c r="AF431" s="1">
        <v>2.8</v>
      </c>
      <c r="AG431" s="1">
        <v>66.9</v>
      </c>
      <c r="AH431" s="1">
        <v>452.7</v>
      </c>
      <c r="AI431" s="1">
        <v>6.8</v>
      </c>
      <c r="AJ431" s="1">
        <v>11.3</v>
      </c>
      <c r="AK431" s="1">
        <v>11.0</v>
      </c>
      <c r="AL431" s="1">
        <v>1.7</v>
      </c>
      <c r="AM431" s="1">
        <v>24.0</v>
      </c>
      <c r="AN431" s="1">
        <v>5.2</v>
      </c>
      <c r="AO431" s="1">
        <v>47.7</v>
      </c>
      <c r="AP431" s="1">
        <v>0.1</v>
      </c>
      <c r="AQ431" s="1">
        <v>0.3</v>
      </c>
      <c r="AR431" s="1">
        <v>0.4</v>
      </c>
    </row>
    <row r="432" ht="15.75" customHeight="1">
      <c r="A432" s="1" t="str">
        <f>CONCATENATE(Scores!A432,"+++",Scores!C432)</f>
        <v>Iowa+++Washington</v>
      </c>
      <c r="B432" s="1">
        <f>Scores!B432</f>
        <v>40</v>
      </c>
      <c r="C432" s="1">
        <f t="array" ref="C432:W432">XLOOKUP(LEFT(A432,SEARCH("+",A432)-1),'Offensive Data'!$A$2:$A$134,'Offensive Data'!$D$2:$X$134)</f>
        <v>12.5</v>
      </c>
      <c r="D432" s="1">
        <v>20.0</v>
      </c>
      <c r="E432" s="1">
        <v>62.7</v>
      </c>
      <c r="F432" s="1">
        <v>131.6</v>
      </c>
      <c r="G432" s="1">
        <v>0.8</v>
      </c>
      <c r="H432" s="1">
        <v>38.5</v>
      </c>
      <c r="I432" s="1">
        <v>197.2</v>
      </c>
      <c r="J432" s="1">
        <v>5.1</v>
      </c>
      <c r="K432" s="1">
        <v>2.3</v>
      </c>
      <c r="L432" s="1">
        <v>58.5</v>
      </c>
      <c r="M432" s="1">
        <v>328.8</v>
      </c>
      <c r="N432" s="1">
        <v>5.6</v>
      </c>
      <c r="O432" s="1">
        <v>6.3</v>
      </c>
      <c r="P432" s="1">
        <v>9.0</v>
      </c>
      <c r="Q432" s="1">
        <v>1.4</v>
      </c>
      <c r="R432" s="1">
        <v>16.7</v>
      </c>
      <c r="S432" s="1">
        <v>3.2</v>
      </c>
      <c r="T432" s="1">
        <v>29.8</v>
      </c>
      <c r="U432" s="1">
        <v>0.3</v>
      </c>
      <c r="V432" s="1">
        <v>0.6</v>
      </c>
      <c r="W432" s="1">
        <v>0.9</v>
      </c>
      <c r="X432" s="1">
        <f t="array" ref="X432:AR432">XLOOKUP(MID(A432, SEARCH("+++", A432) + 3, LEN(A432)),'Defensive Data'!$A$2:$A$134,'Defensive Data'!$D$2:$X$134)</f>
        <v>16.2</v>
      </c>
      <c r="Y432" s="1">
        <v>29.0</v>
      </c>
      <c r="Z432" s="1">
        <v>55.7</v>
      </c>
      <c r="AA432" s="1">
        <v>166.5</v>
      </c>
      <c r="AB432" s="1">
        <v>1.2</v>
      </c>
      <c r="AC432" s="1">
        <v>35.5</v>
      </c>
      <c r="AD432" s="1">
        <v>161.8</v>
      </c>
      <c r="AE432" s="1">
        <v>4.6</v>
      </c>
      <c r="AF432" s="1">
        <v>1.5</v>
      </c>
      <c r="AG432" s="1">
        <v>64.5</v>
      </c>
      <c r="AH432" s="1">
        <v>328.4</v>
      </c>
      <c r="AI432" s="1">
        <v>5.1</v>
      </c>
      <c r="AJ432" s="1">
        <v>8.0</v>
      </c>
      <c r="AK432" s="1">
        <v>9.5</v>
      </c>
      <c r="AL432" s="1">
        <v>2.2</v>
      </c>
      <c r="AM432" s="1">
        <v>19.7</v>
      </c>
      <c r="AN432" s="1">
        <v>5.0</v>
      </c>
      <c r="AO432" s="1">
        <v>42.0</v>
      </c>
      <c r="AP432" s="1">
        <v>0.5</v>
      </c>
      <c r="AQ432" s="1">
        <v>0.6</v>
      </c>
      <c r="AR432" s="1">
        <v>1.1</v>
      </c>
    </row>
    <row r="433" ht="15.75" customHeight="1">
      <c r="A433" s="1" t="str">
        <f>CONCATENATE(Scores!A433,"+++",Scores!C433)</f>
        <v> Iowa State+++West Virginia</v>
      </c>
      <c r="B433" s="1">
        <f>Scores!B433</f>
        <v>28</v>
      </c>
      <c r="C433" s="1" t="str">
        <f t="array" ref="C433">XLOOKUP(LEFT(A433,SEARCH("+",A433)-1),'Offensive Data'!$A$2:$A$134,'Offensive Data'!$D$2:$X$134)</f>
        <v>#N/A</v>
      </c>
      <c r="X433" s="1">
        <f t="array" ref="X433:AR433">XLOOKUP(MID(A433, SEARCH("+++", A433) + 3, LEN(A433)),'Defensive Data'!$A$2:$A$134,'Defensive Data'!$D$2:$X$134)</f>
        <v>19</v>
      </c>
      <c r="Y433" s="1">
        <v>29.7</v>
      </c>
      <c r="Z433" s="1">
        <v>64.0</v>
      </c>
      <c r="AA433" s="1">
        <v>270.8</v>
      </c>
      <c r="AB433" s="1">
        <v>2.0</v>
      </c>
      <c r="AC433" s="1">
        <v>34.2</v>
      </c>
      <c r="AD433" s="1">
        <v>144.4</v>
      </c>
      <c r="AE433" s="1">
        <v>4.2</v>
      </c>
      <c r="AF433" s="1">
        <v>2.2</v>
      </c>
      <c r="AG433" s="1">
        <v>63.8</v>
      </c>
      <c r="AH433" s="1">
        <v>415.2</v>
      </c>
      <c r="AI433" s="1">
        <v>6.5</v>
      </c>
      <c r="AJ433" s="1">
        <v>12.0</v>
      </c>
      <c r="AK433" s="1">
        <v>8.4</v>
      </c>
      <c r="AL433" s="1">
        <v>1.4</v>
      </c>
      <c r="AM433" s="1">
        <v>21.8</v>
      </c>
      <c r="AN433" s="1">
        <v>5.9</v>
      </c>
      <c r="AO433" s="1">
        <v>51.1</v>
      </c>
      <c r="AP433" s="1">
        <v>0.5</v>
      </c>
      <c r="AQ433" s="1">
        <v>0.4</v>
      </c>
      <c r="AR433" s="1">
        <v>0.8</v>
      </c>
    </row>
    <row r="434" ht="15.75" customHeight="1">
      <c r="A434" s="1" t="str">
        <f>CONCATENATE(Scores!A434,"+++",Scores!C434)</f>
        <v> Kansas State+++Colorado</v>
      </c>
      <c r="B434" s="1">
        <f>Scores!B434</f>
        <v>31</v>
      </c>
      <c r="C434" s="1" t="str">
        <f t="array" ref="C434">XLOOKUP(LEFT(A434,SEARCH("+",A434)-1),'Offensive Data'!$A$2:$A$134,'Offensive Data'!$D$2:$X$134)</f>
        <v>#N/A</v>
      </c>
      <c r="X434" s="1">
        <f t="array" ref="X434:AR434">XLOOKUP(MID(A434, SEARCH("+++", A434) + 3, LEN(A434)),'Defensive Data'!$A$2:$A$134,'Defensive Data'!$D$2:$X$134)</f>
        <v>17.6</v>
      </c>
      <c r="Y434" s="1">
        <v>30.2</v>
      </c>
      <c r="Z434" s="1">
        <v>58.3</v>
      </c>
      <c r="AA434" s="1">
        <v>200.5</v>
      </c>
      <c r="AB434" s="1">
        <v>1.2</v>
      </c>
      <c r="AC434" s="1">
        <v>39.2</v>
      </c>
      <c r="AD434" s="1">
        <v>151.4</v>
      </c>
      <c r="AE434" s="1">
        <v>3.9</v>
      </c>
      <c r="AF434" s="1">
        <v>1.3</v>
      </c>
      <c r="AG434" s="1">
        <v>69.4</v>
      </c>
      <c r="AH434" s="1">
        <v>351.9</v>
      </c>
      <c r="AI434" s="1">
        <v>5.1</v>
      </c>
      <c r="AJ434" s="1">
        <v>8.5</v>
      </c>
      <c r="AK434" s="1">
        <v>9.5</v>
      </c>
      <c r="AL434" s="1">
        <v>2.2</v>
      </c>
      <c r="AM434" s="1">
        <v>20.2</v>
      </c>
      <c r="AN434" s="1">
        <v>7.6</v>
      </c>
      <c r="AO434" s="1">
        <v>66.9</v>
      </c>
      <c r="AP434" s="1">
        <v>0.9</v>
      </c>
      <c r="AQ434" s="1">
        <v>1.2</v>
      </c>
      <c r="AR434" s="1">
        <v>2.1</v>
      </c>
    </row>
    <row r="435" ht="15.75" customHeight="1">
      <c r="A435" s="1" t="str">
        <f>CONCATENATE(Scores!A435,"+++",Scores!C435)</f>
        <v>Louisiana+++Appalachian State</v>
      </c>
      <c r="B435" s="1">
        <f>Scores!B435</f>
        <v>34</v>
      </c>
      <c r="C435" s="1">
        <f t="array" ref="C435:W435">XLOOKUP(LEFT(A435,SEARCH("+",A435)-1),'Offensive Data'!$A$2:$A$134,'Offensive Data'!$D$2:$X$134)</f>
        <v>19.2</v>
      </c>
      <c r="D435" s="1">
        <v>29.4</v>
      </c>
      <c r="E435" s="1">
        <v>65.3</v>
      </c>
      <c r="F435" s="1">
        <v>248.7</v>
      </c>
      <c r="G435" s="1">
        <v>1.6</v>
      </c>
      <c r="H435" s="1">
        <v>34.6</v>
      </c>
      <c r="I435" s="1">
        <v>166.4</v>
      </c>
      <c r="J435" s="1">
        <v>4.8</v>
      </c>
      <c r="K435" s="1">
        <v>1.9</v>
      </c>
      <c r="L435" s="1">
        <v>64.0</v>
      </c>
      <c r="M435" s="1">
        <v>415.1</v>
      </c>
      <c r="N435" s="1">
        <v>6.5</v>
      </c>
      <c r="O435" s="1">
        <v>10.7</v>
      </c>
      <c r="P435" s="1">
        <v>8.1</v>
      </c>
      <c r="Q435" s="1">
        <v>1.9</v>
      </c>
      <c r="R435" s="1">
        <v>20.7</v>
      </c>
      <c r="S435" s="1">
        <v>5.9</v>
      </c>
      <c r="T435" s="1">
        <v>48.8</v>
      </c>
      <c r="U435" s="1">
        <v>0.1</v>
      </c>
      <c r="V435" s="1">
        <v>0.6</v>
      </c>
      <c r="W435" s="1">
        <v>0.8</v>
      </c>
      <c r="X435" s="1">
        <f t="array" ref="X435:AR435">XLOOKUP(MID(A435, SEARCH("+++", A435) + 3, LEN(A435)),'Defensive Data'!$A$2:$A$134,'Defensive Data'!$D$2:$X$134)</f>
        <v>17.6</v>
      </c>
      <c r="Y435" s="1">
        <v>25.6</v>
      </c>
      <c r="Z435" s="1">
        <v>68.8</v>
      </c>
      <c r="AA435" s="1">
        <v>214.8</v>
      </c>
      <c r="AB435" s="1">
        <v>1.8</v>
      </c>
      <c r="AC435" s="1">
        <v>37.4</v>
      </c>
      <c r="AD435" s="1">
        <v>197.6</v>
      </c>
      <c r="AE435" s="1">
        <v>5.3</v>
      </c>
      <c r="AF435" s="1">
        <v>2.2</v>
      </c>
      <c r="AG435" s="1">
        <v>63.0</v>
      </c>
      <c r="AH435" s="1">
        <v>412.5</v>
      </c>
      <c r="AI435" s="1">
        <v>6.5</v>
      </c>
      <c r="AJ435" s="1">
        <v>8.7</v>
      </c>
      <c r="AK435" s="1">
        <v>10.7</v>
      </c>
      <c r="AL435" s="1">
        <v>2.0</v>
      </c>
      <c r="AM435" s="1">
        <v>21.5</v>
      </c>
      <c r="AN435" s="1">
        <v>7.0</v>
      </c>
      <c r="AO435" s="1">
        <v>63.8</v>
      </c>
      <c r="AP435" s="1">
        <v>0.8</v>
      </c>
      <c r="AQ435" s="1">
        <v>0.4</v>
      </c>
      <c r="AR435" s="1">
        <v>1.2</v>
      </c>
    </row>
    <row r="436" ht="15.75" customHeight="1">
      <c r="A436" s="1" t="str">
        <f>CONCATENATE(Scores!A436,"+++",Scores!C436)</f>
        <v> Louisiana State+++ Mississippi</v>
      </c>
      <c r="B436" s="1">
        <f>Scores!B436</f>
        <v>29</v>
      </c>
      <c r="C436" s="1" t="str">
        <f t="array" ref="C436">XLOOKUP(LEFT(A436,SEARCH("+",A436)-1),'Offensive Data'!$A$2:$A$134,'Offensive Data'!$D$2:$X$134)</f>
        <v>#N/A</v>
      </c>
      <c r="X436" s="1" t="str">
        <f t="array" ref="X436">XLOOKUP(MID(A436, SEARCH("+++", A436) + 3, LEN(A436)),'Defensive Data'!$A$2:$A$134,'Defensive Data'!$D$2:$X$134)</f>
        <v>#N/A</v>
      </c>
    </row>
    <row r="437" ht="15.75" customHeight="1">
      <c r="A437" s="1" t="str">
        <f>CONCATENATE(Scores!A437,"+++",Scores!C437)</f>
        <v>Louisiana-Monroe+++Southern Mississippi</v>
      </c>
      <c r="B437" s="1">
        <f>Scores!B437</f>
        <v>38</v>
      </c>
      <c r="C437" s="1">
        <f t="array" ref="C437:W437">XLOOKUP(LEFT(A437,SEARCH("+",A437)-1),'Offensive Data'!$A$2:$A$134,'Offensive Data'!$D$2:$X$134)</f>
        <v>11.2</v>
      </c>
      <c r="D437" s="1">
        <v>20.5</v>
      </c>
      <c r="E437" s="1">
        <v>54.5</v>
      </c>
      <c r="F437" s="1">
        <v>134.8</v>
      </c>
      <c r="G437" s="1">
        <v>0.9</v>
      </c>
      <c r="H437" s="1">
        <v>38.0</v>
      </c>
      <c r="I437" s="1">
        <v>169.7</v>
      </c>
      <c r="J437" s="1">
        <v>4.5</v>
      </c>
      <c r="K437" s="1">
        <v>1.4</v>
      </c>
      <c r="L437" s="1">
        <v>58.5</v>
      </c>
      <c r="M437" s="1">
        <v>304.4</v>
      </c>
      <c r="N437" s="1">
        <v>5.2</v>
      </c>
      <c r="O437" s="1">
        <v>5.6</v>
      </c>
      <c r="P437" s="1">
        <v>8.3</v>
      </c>
      <c r="Q437" s="1">
        <v>1.6</v>
      </c>
      <c r="R437" s="1">
        <v>15.4</v>
      </c>
      <c r="S437" s="1">
        <v>5.9</v>
      </c>
      <c r="T437" s="1">
        <v>43.3</v>
      </c>
      <c r="U437" s="1">
        <v>0.3</v>
      </c>
      <c r="V437" s="1">
        <v>1.0</v>
      </c>
      <c r="W437" s="1">
        <v>1.3</v>
      </c>
      <c r="X437" s="1">
        <f t="array" ref="X437:AR437">XLOOKUP(MID(A437, SEARCH("+++", A437) + 3, LEN(A437)),'Defensive Data'!$A$2:$A$134,'Defensive Data'!$D$2:$X$134)</f>
        <v>17.4</v>
      </c>
      <c r="Y437" s="1">
        <v>26.8</v>
      </c>
      <c r="Z437" s="1">
        <v>65.1</v>
      </c>
      <c r="AA437" s="1">
        <v>216.5</v>
      </c>
      <c r="AB437" s="1">
        <v>2.0</v>
      </c>
      <c r="AC437" s="1">
        <v>39.5</v>
      </c>
      <c r="AD437" s="1">
        <v>232.7</v>
      </c>
      <c r="AE437" s="1">
        <v>5.9</v>
      </c>
      <c r="AF437" s="1">
        <v>2.6</v>
      </c>
      <c r="AG437" s="1">
        <v>66.3</v>
      </c>
      <c r="AH437" s="1">
        <v>449.2</v>
      </c>
      <c r="AI437" s="1">
        <v>6.8</v>
      </c>
      <c r="AJ437" s="1">
        <v>9.7</v>
      </c>
      <c r="AK437" s="1">
        <v>10.9</v>
      </c>
      <c r="AL437" s="1">
        <v>1.2</v>
      </c>
      <c r="AM437" s="1">
        <v>21.8</v>
      </c>
      <c r="AN437" s="1">
        <v>6.2</v>
      </c>
      <c r="AO437" s="1">
        <v>54.9</v>
      </c>
      <c r="AP437" s="1">
        <v>0.3</v>
      </c>
      <c r="AQ437" s="1">
        <v>0.5</v>
      </c>
      <c r="AR437" s="1">
        <v>0.8</v>
      </c>
    </row>
    <row r="438" ht="15.75" customHeight="1">
      <c r="A438" s="1" t="str">
        <f>CONCATENATE(Scores!A438,"+++",Scores!C438)</f>
        <v>Louisville+++Virginia</v>
      </c>
      <c r="B438" s="1">
        <f>Scores!B438</f>
        <v>24</v>
      </c>
      <c r="C438" s="1">
        <f t="array" ref="C438:W438">XLOOKUP(LEFT(A438,SEARCH("+",A438)-1),'Offensive Data'!$A$2:$A$134,'Offensive Data'!$D$2:$X$134)</f>
        <v>20.8</v>
      </c>
      <c r="D438" s="1">
        <v>32.8</v>
      </c>
      <c r="E438" s="1">
        <v>63.5</v>
      </c>
      <c r="F438" s="1">
        <v>264.1</v>
      </c>
      <c r="G438" s="1">
        <v>2.0</v>
      </c>
      <c r="H438" s="1">
        <v>32.8</v>
      </c>
      <c r="I438" s="1">
        <v>185.2</v>
      </c>
      <c r="J438" s="1">
        <v>5.7</v>
      </c>
      <c r="K438" s="1">
        <v>2.2</v>
      </c>
      <c r="L438" s="1">
        <v>65.6</v>
      </c>
      <c r="M438" s="1">
        <v>449.2</v>
      </c>
      <c r="N438" s="1">
        <v>6.8</v>
      </c>
      <c r="O438" s="1">
        <v>11.2</v>
      </c>
      <c r="P438" s="1">
        <v>8.5</v>
      </c>
      <c r="Q438" s="1">
        <v>1.5</v>
      </c>
      <c r="R438" s="1">
        <v>21.2</v>
      </c>
      <c r="S438" s="1">
        <v>6.2</v>
      </c>
      <c r="T438" s="1">
        <v>49.4</v>
      </c>
      <c r="U438" s="1">
        <v>0.4</v>
      </c>
      <c r="V438" s="1">
        <v>0.5</v>
      </c>
      <c r="W438" s="1">
        <v>0.8</v>
      </c>
      <c r="X438" s="1">
        <f t="array" ref="X438:AR438">XLOOKUP(MID(A438, SEARCH("+++", A438) + 3, LEN(A438)),'Defensive Data'!$A$2:$A$134,'Defensive Data'!$D$2:$X$134)</f>
        <v>20.3</v>
      </c>
      <c r="Y438" s="1">
        <v>32.7</v>
      </c>
      <c r="Z438" s="1">
        <v>62.0</v>
      </c>
      <c r="AA438" s="1">
        <v>263.1</v>
      </c>
      <c r="AB438" s="1">
        <v>1.7</v>
      </c>
      <c r="AC438" s="1">
        <v>35.2</v>
      </c>
      <c r="AD438" s="1">
        <v>145.3</v>
      </c>
      <c r="AE438" s="1">
        <v>4.1</v>
      </c>
      <c r="AF438" s="1">
        <v>1.7</v>
      </c>
      <c r="AG438" s="1">
        <v>67.8</v>
      </c>
      <c r="AH438" s="1">
        <v>408.3</v>
      </c>
      <c r="AI438" s="1">
        <v>6.0</v>
      </c>
      <c r="AJ438" s="1">
        <v>10.3</v>
      </c>
      <c r="AK438" s="1">
        <v>8.2</v>
      </c>
      <c r="AL438" s="1">
        <v>1.4</v>
      </c>
      <c r="AM438" s="1">
        <v>19.8</v>
      </c>
      <c r="AN438" s="1">
        <v>7.1</v>
      </c>
      <c r="AO438" s="1">
        <v>60.8</v>
      </c>
      <c r="AP438" s="1">
        <v>0.5</v>
      </c>
      <c r="AQ438" s="1">
        <v>0.8</v>
      </c>
      <c r="AR438" s="1">
        <v>1.3</v>
      </c>
    </row>
    <row r="439" ht="15.75" customHeight="1">
      <c r="A439" s="1" t="str">
        <f>CONCATENATE(Scores!A439,"+++",Scores!C439)</f>
        <v>Memphis+++South Florida</v>
      </c>
      <c r="B439" s="1">
        <f>Scores!B439</f>
        <v>21</v>
      </c>
      <c r="C439" s="1">
        <f t="array" ref="C439:W439">XLOOKUP(LEFT(A439,SEARCH("+",A439)-1),'Offensive Data'!$A$2:$A$134,'Offensive Data'!$D$2:$X$134)</f>
        <v>23.8</v>
      </c>
      <c r="D439" s="1">
        <v>36.8</v>
      </c>
      <c r="E439" s="1">
        <v>64.7</v>
      </c>
      <c r="F439" s="1">
        <v>270.5</v>
      </c>
      <c r="G439" s="1">
        <v>1.9</v>
      </c>
      <c r="H439" s="1">
        <v>34.5</v>
      </c>
      <c r="I439" s="1">
        <v>174.1</v>
      </c>
      <c r="J439" s="1">
        <v>5.1</v>
      </c>
      <c r="K439" s="1">
        <v>2.5</v>
      </c>
      <c r="L439" s="1">
        <v>71.3</v>
      </c>
      <c r="M439" s="1">
        <v>444.5</v>
      </c>
      <c r="N439" s="1">
        <v>6.2</v>
      </c>
      <c r="O439" s="1">
        <v>11.5</v>
      </c>
      <c r="P439" s="1">
        <v>9.4</v>
      </c>
      <c r="Q439" s="1">
        <v>2.2</v>
      </c>
      <c r="R439" s="1">
        <v>23.1</v>
      </c>
      <c r="S439" s="1">
        <v>5.3</v>
      </c>
      <c r="T439" s="1">
        <v>48.0</v>
      </c>
      <c r="U439" s="1">
        <v>0.2</v>
      </c>
      <c r="V439" s="1">
        <v>0.5</v>
      </c>
      <c r="W439" s="1">
        <v>0.6</v>
      </c>
      <c r="X439" s="1">
        <f t="array" ref="X439:AR439">XLOOKUP(MID(A439, SEARCH("+++", A439) + 3, LEN(A439)),'Defensive Data'!$A$2:$A$134,'Defensive Data'!$D$2:$X$134)</f>
        <v>21.3</v>
      </c>
      <c r="Y439" s="1">
        <v>36.2</v>
      </c>
      <c r="Z439" s="1">
        <v>58.8</v>
      </c>
      <c r="AA439" s="1">
        <v>278.8</v>
      </c>
      <c r="AB439" s="1">
        <v>1.8</v>
      </c>
      <c r="AC439" s="1">
        <v>39.2</v>
      </c>
      <c r="AD439" s="1">
        <v>158.2</v>
      </c>
      <c r="AE439" s="1">
        <v>4.0</v>
      </c>
      <c r="AF439" s="1">
        <v>1.9</v>
      </c>
      <c r="AG439" s="1">
        <v>75.5</v>
      </c>
      <c r="AH439" s="1">
        <v>436.9</v>
      </c>
      <c r="AI439" s="1">
        <v>5.8</v>
      </c>
      <c r="AJ439" s="1">
        <v>11.5</v>
      </c>
      <c r="AK439" s="1">
        <v>8.5</v>
      </c>
      <c r="AL439" s="1">
        <v>2.7</v>
      </c>
      <c r="AM439" s="1">
        <v>22.7</v>
      </c>
      <c r="AN439" s="1">
        <v>8.5</v>
      </c>
      <c r="AO439" s="1">
        <v>73.2</v>
      </c>
      <c r="AP439" s="1">
        <v>1.0</v>
      </c>
      <c r="AQ439" s="1">
        <v>0.9</v>
      </c>
      <c r="AR439" s="1">
        <v>1.9</v>
      </c>
    </row>
    <row r="440" ht="15.75" customHeight="1">
      <c r="A440" s="1" t="str">
        <f>CONCATENATE(Scores!A440,"+++",Scores!C440)</f>
        <v>Miami (OH)+++Eastern Michigan</v>
      </c>
      <c r="B440" s="1">
        <f>Scores!B440</f>
        <v>38</v>
      </c>
      <c r="C440" s="1">
        <f t="array" ref="C440:W440">XLOOKUP(LEFT(A440,SEARCH("+",A440)-1),'Offensive Data'!$A$2:$A$134,'Offensive Data'!$D$2:$X$134)</f>
        <v>16.1</v>
      </c>
      <c r="D440" s="1">
        <v>28.5</v>
      </c>
      <c r="E440" s="1">
        <v>56.4</v>
      </c>
      <c r="F440" s="1">
        <v>217.4</v>
      </c>
      <c r="G440" s="1">
        <v>1.6</v>
      </c>
      <c r="H440" s="1">
        <v>29.5</v>
      </c>
      <c r="I440" s="1">
        <v>135.3</v>
      </c>
      <c r="J440" s="1">
        <v>4.6</v>
      </c>
      <c r="K440" s="1">
        <v>1.0</v>
      </c>
      <c r="L440" s="1">
        <v>58.0</v>
      </c>
      <c r="M440" s="1">
        <v>352.7</v>
      </c>
      <c r="N440" s="1">
        <v>6.1</v>
      </c>
      <c r="O440" s="1">
        <v>9.7</v>
      </c>
      <c r="P440" s="1">
        <v>5.9</v>
      </c>
      <c r="Q440" s="1">
        <v>1.2</v>
      </c>
      <c r="R440" s="1">
        <v>16.9</v>
      </c>
      <c r="S440" s="1">
        <v>5.3</v>
      </c>
      <c r="T440" s="1">
        <v>41.8</v>
      </c>
      <c r="U440" s="1">
        <v>0.4</v>
      </c>
      <c r="V440" s="1">
        <v>0.9</v>
      </c>
      <c r="W440" s="1">
        <v>1.3</v>
      </c>
      <c r="X440" s="1">
        <f t="array" ref="X440:AR440">XLOOKUP(MID(A440, SEARCH("+++", A440) + 3, LEN(A440)),'Defensive Data'!$A$2:$A$134,'Defensive Data'!$D$2:$X$134)</f>
        <v>16.4</v>
      </c>
      <c r="Y440" s="1">
        <v>25.8</v>
      </c>
      <c r="Z440" s="1">
        <v>63.8</v>
      </c>
      <c r="AA440" s="1">
        <v>220.9</v>
      </c>
      <c r="AB440" s="1">
        <v>1.8</v>
      </c>
      <c r="AC440" s="1">
        <v>36.3</v>
      </c>
      <c r="AD440" s="1">
        <v>162.8</v>
      </c>
      <c r="AE440" s="1">
        <v>4.5</v>
      </c>
      <c r="AF440" s="1">
        <v>1.6</v>
      </c>
      <c r="AG440" s="1">
        <v>62.1</v>
      </c>
      <c r="AH440" s="1">
        <v>383.8</v>
      </c>
      <c r="AI440" s="1">
        <v>6.2</v>
      </c>
      <c r="AJ440" s="1">
        <v>8.3</v>
      </c>
      <c r="AK440" s="1">
        <v>8.6</v>
      </c>
      <c r="AL440" s="1">
        <v>2.8</v>
      </c>
      <c r="AM440" s="1">
        <v>19.7</v>
      </c>
      <c r="AN440" s="1">
        <v>7.3</v>
      </c>
      <c r="AO440" s="1">
        <v>64.6</v>
      </c>
      <c r="AP440" s="1">
        <v>0.8</v>
      </c>
      <c r="AQ440" s="1">
        <v>0.4</v>
      </c>
      <c r="AR440" s="1">
        <v>1.3</v>
      </c>
    </row>
    <row r="441" ht="15.75" customHeight="1">
      <c r="A441" s="1" t="str">
        <f>CONCATENATE(Scores!A441,"+++",Scores!C441)</f>
        <v>Minnesota+++UCLA</v>
      </c>
      <c r="B441" s="1">
        <f>Scores!B441</f>
        <v>21</v>
      </c>
      <c r="C441" s="1">
        <f t="array" ref="C441:W441">XLOOKUP(LEFT(A441,SEARCH("+",A441)-1),'Offensive Data'!$A$2:$A$134,'Offensive Data'!$D$2:$X$134)</f>
        <v>21</v>
      </c>
      <c r="D441" s="1">
        <v>31.7</v>
      </c>
      <c r="E441" s="1">
        <v>66.3</v>
      </c>
      <c r="F441" s="1">
        <v>222.2</v>
      </c>
      <c r="G441" s="1">
        <v>1.5</v>
      </c>
      <c r="H441" s="1">
        <v>31.1</v>
      </c>
      <c r="I441" s="1">
        <v>115.6</v>
      </c>
      <c r="J441" s="1">
        <v>3.7</v>
      </c>
      <c r="K441" s="1">
        <v>1.4</v>
      </c>
      <c r="L441" s="1">
        <v>62.8</v>
      </c>
      <c r="M441" s="1">
        <v>337.8</v>
      </c>
      <c r="N441" s="1">
        <v>5.4</v>
      </c>
      <c r="O441" s="1">
        <v>11.0</v>
      </c>
      <c r="P441" s="1">
        <v>7.2</v>
      </c>
      <c r="Q441" s="1">
        <v>2.2</v>
      </c>
      <c r="R441" s="1">
        <v>20.4</v>
      </c>
      <c r="S441" s="1">
        <v>4.8</v>
      </c>
      <c r="T441" s="1">
        <v>37.5</v>
      </c>
      <c r="U441" s="1">
        <v>0.5</v>
      </c>
      <c r="V441" s="1">
        <v>0.5</v>
      </c>
      <c r="W441" s="1">
        <v>0.9</v>
      </c>
      <c r="X441" s="1">
        <f t="array" ref="X441:AR441">XLOOKUP(MID(A441, SEARCH("+++", A441) + 3, LEN(A441)),'Defensive Data'!$A$2:$A$134,'Defensive Data'!$D$2:$X$134)</f>
        <v>22.4</v>
      </c>
      <c r="Y441" s="1">
        <v>34.3</v>
      </c>
      <c r="Z441" s="1">
        <v>65.5</v>
      </c>
      <c r="AA441" s="1">
        <v>244.7</v>
      </c>
      <c r="AB441" s="1">
        <v>1.6</v>
      </c>
      <c r="AC441" s="1">
        <v>28.8</v>
      </c>
      <c r="AD441" s="1">
        <v>96.2</v>
      </c>
      <c r="AE441" s="1">
        <v>3.3</v>
      </c>
      <c r="AF441" s="1">
        <v>1.4</v>
      </c>
      <c r="AG441" s="1">
        <v>63.0</v>
      </c>
      <c r="AH441" s="1">
        <v>340.8</v>
      </c>
      <c r="AI441" s="1">
        <v>5.4</v>
      </c>
      <c r="AJ441" s="1">
        <v>11.5</v>
      </c>
      <c r="AK441" s="1">
        <v>5.8</v>
      </c>
      <c r="AL441" s="1">
        <v>2.8</v>
      </c>
      <c r="AM441" s="1">
        <v>20.2</v>
      </c>
      <c r="AN441" s="1">
        <v>4.8</v>
      </c>
      <c r="AO441" s="1">
        <v>41.3</v>
      </c>
      <c r="AP441" s="1">
        <v>0.3</v>
      </c>
      <c r="AQ441" s="1">
        <v>0.8</v>
      </c>
      <c r="AR441" s="1">
        <v>1.1</v>
      </c>
    </row>
    <row r="442" ht="15.75" customHeight="1">
      <c r="A442" s="1" t="str">
        <f>CONCATENATE(Scores!A442,"+++",Scores!C442)</f>
        <v> Missouri+++Massachusetts</v>
      </c>
      <c r="B442" s="1">
        <f>Scores!B442</f>
        <v>45</v>
      </c>
      <c r="C442" s="1" t="str">
        <f t="array" ref="C442">XLOOKUP(LEFT(A442,SEARCH("+",A442)-1),'Offensive Data'!$A$2:$A$134,'Offensive Data'!$D$2:$X$134)</f>
        <v>#N/A</v>
      </c>
      <c r="X442" s="1">
        <f t="array" ref="X442:AR442">XLOOKUP(MID(A442, SEARCH("+++", A442) + 3, LEN(A442)),'Defensive Data'!$A$2:$A$134,'Defensive Data'!$D$2:$X$134)</f>
        <v>13</v>
      </c>
      <c r="Y442" s="1">
        <v>22.4</v>
      </c>
      <c r="Z442" s="1">
        <v>58.0</v>
      </c>
      <c r="AA442" s="1">
        <v>176.6</v>
      </c>
      <c r="AB442" s="1">
        <v>1.6</v>
      </c>
      <c r="AC442" s="1">
        <v>37.8</v>
      </c>
      <c r="AD442" s="1">
        <v>197.9</v>
      </c>
      <c r="AE442" s="1">
        <v>5.2</v>
      </c>
      <c r="AF442" s="1">
        <v>2.7</v>
      </c>
      <c r="AG442" s="1">
        <v>60.3</v>
      </c>
      <c r="AH442" s="1">
        <v>374.5</v>
      </c>
      <c r="AI442" s="1">
        <v>6.2</v>
      </c>
      <c r="AJ442" s="1">
        <v>7.4</v>
      </c>
      <c r="AK442" s="1">
        <v>10.6</v>
      </c>
      <c r="AL442" s="1">
        <v>2.3</v>
      </c>
      <c r="AM442" s="1">
        <v>20.3</v>
      </c>
      <c r="AN442" s="1">
        <v>6.0</v>
      </c>
      <c r="AO442" s="1">
        <v>53.3</v>
      </c>
      <c r="AP442" s="1">
        <v>0.3</v>
      </c>
      <c r="AQ442" s="1">
        <v>0.5</v>
      </c>
      <c r="AR442" s="1">
        <v>0.8</v>
      </c>
    </row>
    <row r="443" ht="15.75" customHeight="1">
      <c r="A443" s="1" t="str">
        <f>CONCATENATE(Scores!A443,"+++",Scores!C443)</f>
        <v>Nevada+++Oregon State</v>
      </c>
      <c r="B443" s="1">
        <f>Scores!B443</f>
        <v>42</v>
      </c>
      <c r="C443" s="1">
        <f t="array" ref="C443:W443">XLOOKUP(LEFT(A443,SEARCH("+",A443)-1),'Offensive Data'!$A$2:$A$134,'Offensive Data'!$D$2:$X$134)</f>
        <v>19</v>
      </c>
      <c r="D443" s="1">
        <v>28.2</v>
      </c>
      <c r="E443" s="1">
        <v>67.5</v>
      </c>
      <c r="F443" s="1">
        <v>212.6</v>
      </c>
      <c r="G443" s="1">
        <v>1.5</v>
      </c>
      <c r="H443" s="1">
        <v>35.5</v>
      </c>
      <c r="I443" s="1">
        <v>163.5</v>
      </c>
      <c r="J443" s="1">
        <v>4.6</v>
      </c>
      <c r="K443" s="1">
        <v>1.6</v>
      </c>
      <c r="L443" s="1">
        <v>63.7</v>
      </c>
      <c r="M443" s="1">
        <v>376.1</v>
      </c>
      <c r="N443" s="1">
        <v>5.9</v>
      </c>
      <c r="O443" s="1">
        <v>9.0</v>
      </c>
      <c r="P443" s="1">
        <v>8.8</v>
      </c>
      <c r="Q443" s="1">
        <v>1.7</v>
      </c>
      <c r="R443" s="1">
        <v>19.5</v>
      </c>
      <c r="S443" s="1">
        <v>7.6</v>
      </c>
      <c r="T443" s="1">
        <v>71.9</v>
      </c>
      <c r="U443" s="1">
        <v>0.5</v>
      </c>
      <c r="V443" s="1">
        <v>0.6</v>
      </c>
      <c r="W443" s="1">
        <v>1.2</v>
      </c>
      <c r="X443" s="1">
        <f t="array" ref="X443:AR443">XLOOKUP(MID(A443, SEARCH("+++", A443) + 3, LEN(A443)),'Defensive Data'!$A$2:$A$134,'Defensive Data'!$D$2:$X$134)</f>
        <v>15.8</v>
      </c>
      <c r="Y443" s="1">
        <v>26.4</v>
      </c>
      <c r="Z443" s="1">
        <v>59.9</v>
      </c>
      <c r="AA443" s="1">
        <v>214.1</v>
      </c>
      <c r="AB443" s="1">
        <v>1.3</v>
      </c>
      <c r="AC443" s="1">
        <v>34.9</v>
      </c>
      <c r="AD443" s="1">
        <v>185.8</v>
      </c>
      <c r="AE443" s="1">
        <v>5.3</v>
      </c>
      <c r="AF443" s="1">
        <v>2.2</v>
      </c>
      <c r="AG443" s="1">
        <v>61.3</v>
      </c>
      <c r="AH443" s="1">
        <v>399.9</v>
      </c>
      <c r="AI443" s="1">
        <v>6.5</v>
      </c>
      <c r="AJ443" s="1">
        <v>9.7</v>
      </c>
      <c r="AK443" s="1">
        <v>9.7</v>
      </c>
      <c r="AL443" s="1">
        <v>1.4</v>
      </c>
      <c r="AM443" s="1">
        <v>20.8</v>
      </c>
      <c r="AN443" s="1">
        <v>5.2</v>
      </c>
      <c r="AO443" s="1">
        <v>49.5</v>
      </c>
      <c r="AP443" s="1">
        <v>0.6</v>
      </c>
      <c r="AQ443" s="1">
        <v>0.4</v>
      </c>
      <c r="AR443" s="1">
        <v>1.0</v>
      </c>
    </row>
    <row r="444" ht="15.75" customHeight="1">
      <c r="A444" s="1" t="str">
        <f>CONCATENATE(Scores!A444,"+++",Scores!C444)</f>
        <v>New Mexico+++Air Force</v>
      </c>
      <c r="B444" s="1">
        <f>Scores!B444</f>
        <v>52</v>
      </c>
      <c r="C444" s="1">
        <f t="array" ref="C444:W444">XLOOKUP(LEFT(A444,SEARCH("+",A444)-1),'Offensive Data'!$A$2:$A$134,'Offensive Data'!$D$2:$X$134)</f>
        <v>18.8</v>
      </c>
      <c r="D444" s="1">
        <v>32.5</v>
      </c>
      <c r="E444" s="1">
        <v>57.9</v>
      </c>
      <c r="F444" s="1">
        <v>230.7</v>
      </c>
      <c r="G444" s="1">
        <v>1.0</v>
      </c>
      <c r="H444" s="1">
        <v>38.0</v>
      </c>
      <c r="I444" s="1">
        <v>253.6</v>
      </c>
      <c r="J444" s="1">
        <v>6.7</v>
      </c>
      <c r="K444" s="1">
        <v>3.1</v>
      </c>
      <c r="L444" s="1">
        <v>70.5</v>
      </c>
      <c r="M444" s="1">
        <v>484.3</v>
      </c>
      <c r="N444" s="1">
        <v>6.9</v>
      </c>
      <c r="O444" s="1">
        <v>10.4</v>
      </c>
      <c r="P444" s="1">
        <v>12.4</v>
      </c>
      <c r="Q444" s="1">
        <v>2.0</v>
      </c>
      <c r="R444" s="1">
        <v>24.8</v>
      </c>
      <c r="S444" s="1">
        <v>9.3</v>
      </c>
      <c r="T444" s="1">
        <v>81.5</v>
      </c>
      <c r="U444" s="1">
        <v>0.6</v>
      </c>
      <c r="V444" s="1">
        <v>1.0</v>
      </c>
      <c r="W444" s="1">
        <v>1.6</v>
      </c>
      <c r="X444" s="1">
        <f t="array" ref="X444:AR444">XLOOKUP(MID(A444, SEARCH("+++", A444) + 3, LEN(A444)),'Defensive Data'!$A$2:$A$134,'Defensive Data'!$D$2:$X$134)</f>
        <v>15.6</v>
      </c>
      <c r="Y444" s="1">
        <v>24.1</v>
      </c>
      <c r="Z444" s="1">
        <v>64.7</v>
      </c>
      <c r="AA444" s="1">
        <v>188.5</v>
      </c>
      <c r="AB444" s="1">
        <v>1.0</v>
      </c>
      <c r="AC444" s="1">
        <v>33.6</v>
      </c>
      <c r="AD444" s="1">
        <v>153.4</v>
      </c>
      <c r="AE444" s="1">
        <v>4.6</v>
      </c>
      <c r="AF444" s="1">
        <v>1.9</v>
      </c>
      <c r="AG444" s="1">
        <v>57.7</v>
      </c>
      <c r="AH444" s="1">
        <v>341.9</v>
      </c>
      <c r="AI444" s="1">
        <v>5.9</v>
      </c>
      <c r="AJ444" s="1">
        <v>8.5</v>
      </c>
      <c r="AK444" s="1">
        <v>7.4</v>
      </c>
      <c r="AL444" s="1">
        <v>1.1</v>
      </c>
      <c r="AM444" s="1">
        <v>17.0</v>
      </c>
      <c r="AN444" s="1">
        <v>5.3</v>
      </c>
      <c r="AO444" s="1">
        <v>48.4</v>
      </c>
      <c r="AP444" s="1">
        <v>0.7</v>
      </c>
      <c r="AQ444" s="1">
        <v>0.3</v>
      </c>
      <c r="AR444" s="1">
        <v>1.0</v>
      </c>
    </row>
    <row r="445" ht="15.75" customHeight="1">
      <c r="A445" s="1" t="str">
        <f>CONCATENATE(Scores!A445,"+++",Scores!C445)</f>
        <v>North Texas+++Florida Atlantic</v>
      </c>
      <c r="B445" s="1">
        <f>Scores!B445</f>
        <v>41</v>
      </c>
      <c r="C445" s="1">
        <f t="array" ref="C445:W445">XLOOKUP(LEFT(A445,SEARCH("+",A445)-1),'Offensive Data'!$A$2:$A$134,'Offensive Data'!$D$2:$X$134)</f>
        <v>27.2</v>
      </c>
      <c r="D445" s="1">
        <v>43.2</v>
      </c>
      <c r="E445" s="1">
        <v>62.8</v>
      </c>
      <c r="F445" s="1">
        <v>328.2</v>
      </c>
      <c r="G445" s="1">
        <v>2.5</v>
      </c>
      <c r="H445" s="1">
        <v>29.5</v>
      </c>
      <c r="I445" s="1">
        <v>160.6</v>
      </c>
      <c r="J445" s="1">
        <v>5.4</v>
      </c>
      <c r="K445" s="1">
        <v>1.8</v>
      </c>
      <c r="L445" s="1">
        <v>72.8</v>
      </c>
      <c r="M445" s="1">
        <v>488.8</v>
      </c>
      <c r="N445" s="1">
        <v>6.7</v>
      </c>
      <c r="O445" s="1">
        <v>14.5</v>
      </c>
      <c r="P445" s="1">
        <v>6.7</v>
      </c>
      <c r="Q445" s="1">
        <v>2.6</v>
      </c>
      <c r="R445" s="1">
        <v>23.8</v>
      </c>
      <c r="S445" s="1">
        <v>7.0</v>
      </c>
      <c r="T445" s="1">
        <v>59.5</v>
      </c>
      <c r="U445" s="1">
        <v>0.6</v>
      </c>
      <c r="V445" s="1">
        <v>1.1</v>
      </c>
      <c r="W445" s="1">
        <v>1.7</v>
      </c>
      <c r="X445" s="1">
        <f t="array" ref="X445:AR445">XLOOKUP(MID(A445, SEARCH("+++", A445) + 3, LEN(A445)),'Defensive Data'!$A$2:$A$134,'Defensive Data'!$D$2:$X$134)</f>
        <v>17.6</v>
      </c>
      <c r="Y445" s="1">
        <v>31.5</v>
      </c>
      <c r="Z445" s="1">
        <v>55.8</v>
      </c>
      <c r="AA445" s="1">
        <v>233.2</v>
      </c>
      <c r="AB445" s="1">
        <v>2.1</v>
      </c>
      <c r="AC445" s="1">
        <v>37.5</v>
      </c>
      <c r="AD445" s="1">
        <v>183.5</v>
      </c>
      <c r="AE445" s="1">
        <v>4.9</v>
      </c>
      <c r="AF445" s="1">
        <v>1.5</v>
      </c>
      <c r="AG445" s="1">
        <v>69.0</v>
      </c>
      <c r="AH445" s="1">
        <v>416.7</v>
      </c>
      <c r="AI445" s="1">
        <v>6.0</v>
      </c>
      <c r="AJ445" s="1">
        <v>9.8</v>
      </c>
      <c r="AK445" s="1">
        <v>9.3</v>
      </c>
      <c r="AL445" s="1">
        <v>1.9</v>
      </c>
      <c r="AM445" s="1">
        <v>21.0</v>
      </c>
      <c r="AN445" s="1">
        <v>6.0</v>
      </c>
      <c r="AO445" s="1">
        <v>52.5</v>
      </c>
      <c r="AP445" s="1">
        <v>0.6</v>
      </c>
      <c r="AQ445" s="1">
        <v>0.9</v>
      </c>
      <c r="AR445" s="1">
        <v>1.5</v>
      </c>
    </row>
    <row r="446" ht="15.75" customHeight="1">
      <c r="A446" s="1" t="str">
        <f>CONCATENATE(Scores!A446,"+++",Scores!C446)</f>
        <v>Northern Illinois+++Bowling Green</v>
      </c>
      <c r="B446" s="1">
        <f>Scores!B446</f>
        <v>17</v>
      </c>
      <c r="C446" s="1">
        <f t="array" ref="C446:W446">XLOOKUP(LEFT(A446,SEARCH("+",A446)-1),'Offensive Data'!$A$2:$A$134,'Offensive Data'!$D$2:$X$134)</f>
        <v>16.6</v>
      </c>
      <c r="D446" s="1">
        <v>28.5</v>
      </c>
      <c r="E446" s="1">
        <v>58.2</v>
      </c>
      <c r="F446" s="1">
        <v>178.5</v>
      </c>
      <c r="G446" s="1">
        <v>1.2</v>
      </c>
      <c r="H446" s="1">
        <v>43.2</v>
      </c>
      <c r="I446" s="1">
        <v>203.8</v>
      </c>
      <c r="J446" s="1">
        <v>4.7</v>
      </c>
      <c r="K446" s="1">
        <v>1.7</v>
      </c>
      <c r="L446" s="1">
        <v>71.8</v>
      </c>
      <c r="M446" s="1">
        <v>382.2</v>
      </c>
      <c r="N446" s="1">
        <v>5.3</v>
      </c>
      <c r="O446" s="1">
        <v>8.8</v>
      </c>
      <c r="P446" s="1">
        <v>10.5</v>
      </c>
      <c r="Q446" s="1">
        <v>2.1</v>
      </c>
      <c r="R446" s="1">
        <v>21.5</v>
      </c>
      <c r="S446" s="1">
        <v>4.2</v>
      </c>
      <c r="T446" s="1">
        <v>42.8</v>
      </c>
      <c r="U446" s="1">
        <v>0.7</v>
      </c>
      <c r="V446" s="1">
        <v>0.6</v>
      </c>
      <c r="W446" s="1">
        <v>1.3</v>
      </c>
      <c r="X446" s="1" t="str">
        <f t="array" ref="X446">XLOOKUP(MID(A446, SEARCH("+++", A446) + 3, LEN(A446)),'Defensive Data'!$A$2:$A$134,'Defensive Data'!$D$2:$X$134)</f>
        <v>#N/A</v>
      </c>
    </row>
    <row r="447" ht="15.75" customHeight="1">
      <c r="A447" s="1" t="str">
        <f>CONCATENATE(Scores!A447,"+++",Scores!C447)</f>
        <v> Notre Dame+++Stanford</v>
      </c>
      <c r="B447" s="1">
        <f>Scores!B447</f>
        <v>49</v>
      </c>
      <c r="C447" s="1" t="str">
        <f t="array" ref="C447">XLOOKUP(LEFT(A447,SEARCH("+",A447)-1),'Offensive Data'!$A$2:$A$134,'Offensive Data'!$D$2:$X$134)</f>
        <v>#N/A</v>
      </c>
      <c r="X447" s="1">
        <f t="array" ref="X447:AR447">XLOOKUP(MID(A447, SEARCH("+++", A447) + 3, LEN(A447)),'Defensive Data'!$A$2:$A$134,'Defensive Data'!$D$2:$X$134)</f>
        <v>21.9</v>
      </c>
      <c r="Y447" s="1">
        <v>33.2</v>
      </c>
      <c r="Z447" s="1">
        <v>66.1</v>
      </c>
      <c r="AA447" s="1">
        <v>280.6</v>
      </c>
      <c r="AB447" s="1">
        <v>2.6</v>
      </c>
      <c r="AC447" s="1">
        <v>31.6</v>
      </c>
      <c r="AD447" s="1">
        <v>133.5</v>
      </c>
      <c r="AE447" s="1">
        <v>4.2</v>
      </c>
      <c r="AF447" s="1">
        <v>1.8</v>
      </c>
      <c r="AG447" s="1">
        <v>64.8</v>
      </c>
      <c r="AH447" s="1">
        <v>414.1</v>
      </c>
      <c r="AI447" s="1">
        <v>6.4</v>
      </c>
      <c r="AJ447" s="1">
        <v>12.4</v>
      </c>
      <c r="AK447" s="1">
        <v>7.3</v>
      </c>
      <c r="AL447" s="1">
        <v>1.5</v>
      </c>
      <c r="AM447" s="1">
        <v>21.2</v>
      </c>
      <c r="AN447" s="1">
        <v>6.8</v>
      </c>
      <c r="AO447" s="1">
        <v>61.8</v>
      </c>
      <c r="AP447" s="1">
        <v>0.7</v>
      </c>
      <c r="AQ447" s="1">
        <v>0.8</v>
      </c>
      <c r="AR447" s="1">
        <v>1.4</v>
      </c>
    </row>
    <row r="448" ht="15.75" customHeight="1">
      <c r="A448" s="1" t="str">
        <f>CONCATENATE(Scores!A448,"+++",Scores!C448)</f>
        <v>Ohio+++Central Michigan</v>
      </c>
      <c r="B448" s="1">
        <f>Scores!B448</f>
        <v>27</v>
      </c>
      <c r="C448" s="1">
        <f t="array" ref="C448:W448">XLOOKUP(LEFT(A448,SEARCH("+",A448)-1),'Offensive Data'!$A$2:$A$134,'Offensive Data'!$D$2:$X$134)</f>
        <v>15.5</v>
      </c>
      <c r="D448" s="1">
        <v>24.6</v>
      </c>
      <c r="E448" s="1">
        <v>62.9</v>
      </c>
      <c r="F448" s="1">
        <v>192.4</v>
      </c>
      <c r="G448" s="1">
        <v>1.1</v>
      </c>
      <c r="H448" s="1">
        <v>41.0</v>
      </c>
      <c r="I448" s="1">
        <v>213.1</v>
      </c>
      <c r="J448" s="1">
        <v>5.2</v>
      </c>
      <c r="K448" s="1">
        <v>2.5</v>
      </c>
      <c r="L448" s="1">
        <v>65.6</v>
      </c>
      <c r="M448" s="1">
        <v>405.6</v>
      </c>
      <c r="N448" s="1">
        <v>6.2</v>
      </c>
      <c r="O448" s="1">
        <v>8.7</v>
      </c>
      <c r="P448" s="1">
        <v>11.1</v>
      </c>
      <c r="Q448" s="1">
        <v>2.1</v>
      </c>
      <c r="R448" s="1">
        <v>22.0</v>
      </c>
      <c r="S448" s="1">
        <v>5.6</v>
      </c>
      <c r="T448" s="1">
        <v>45.5</v>
      </c>
      <c r="U448" s="1">
        <v>0.7</v>
      </c>
      <c r="V448" s="1">
        <v>0.9</v>
      </c>
      <c r="W448" s="1">
        <v>1.6</v>
      </c>
      <c r="X448" s="1">
        <f t="array" ref="X448:AR448">XLOOKUP(MID(A448, SEARCH("+++", A448) + 3, LEN(A448)),'Defensive Data'!$A$2:$A$134,'Defensive Data'!$D$2:$X$134)</f>
        <v>16.4</v>
      </c>
      <c r="Y448" s="1">
        <v>27.3</v>
      </c>
      <c r="Z448" s="1">
        <v>60.1</v>
      </c>
      <c r="AA448" s="1">
        <v>193.8</v>
      </c>
      <c r="AB448" s="1">
        <v>1.4</v>
      </c>
      <c r="AC448" s="1">
        <v>37.1</v>
      </c>
      <c r="AD448" s="1">
        <v>169.8</v>
      </c>
      <c r="AE448" s="1">
        <v>4.6</v>
      </c>
      <c r="AF448" s="1">
        <v>1.7</v>
      </c>
      <c r="AG448" s="1">
        <v>64.4</v>
      </c>
      <c r="AH448" s="1">
        <v>363.6</v>
      </c>
      <c r="AI448" s="1">
        <v>5.6</v>
      </c>
      <c r="AJ448" s="1">
        <v>8.8</v>
      </c>
      <c r="AK448" s="1">
        <v>8.3</v>
      </c>
      <c r="AL448" s="1">
        <v>2.1</v>
      </c>
      <c r="AM448" s="1">
        <v>19.1</v>
      </c>
      <c r="AN448" s="1">
        <v>6.4</v>
      </c>
      <c r="AO448" s="1">
        <v>58.8</v>
      </c>
      <c r="AP448" s="1">
        <v>0.3</v>
      </c>
      <c r="AQ448" s="1">
        <v>0.2</v>
      </c>
      <c r="AR448" s="1">
        <v>0.4</v>
      </c>
    </row>
    <row r="449" ht="15.75" customHeight="1">
      <c r="A449" s="1" t="str">
        <f>CONCATENATE(Scores!A449,"+++",Scores!C449)</f>
        <v>Old Dominion+++Georgia State</v>
      </c>
      <c r="B449" s="1">
        <f>Scores!B449</f>
        <v>21</v>
      </c>
      <c r="C449" s="1">
        <f t="array" ref="C449:W449">XLOOKUP(LEFT(A449,SEARCH("+",A449)-1),'Offensive Data'!$A$2:$A$134,'Offensive Data'!$D$2:$X$134)</f>
        <v>16.3</v>
      </c>
      <c r="D449" s="1">
        <v>27.8</v>
      </c>
      <c r="E449" s="1">
        <v>58.6</v>
      </c>
      <c r="F449" s="1">
        <v>192.9</v>
      </c>
      <c r="G449" s="1">
        <v>1.4</v>
      </c>
      <c r="H449" s="1">
        <v>40.1</v>
      </c>
      <c r="I449" s="1">
        <v>209.8</v>
      </c>
      <c r="J449" s="1">
        <v>5.2</v>
      </c>
      <c r="K449" s="1">
        <v>2.3</v>
      </c>
      <c r="L449" s="1">
        <v>67.8</v>
      </c>
      <c r="M449" s="1">
        <v>402.7</v>
      </c>
      <c r="N449" s="1">
        <v>5.9</v>
      </c>
      <c r="O449" s="1">
        <v>8.8</v>
      </c>
      <c r="P449" s="1">
        <v>9.7</v>
      </c>
      <c r="Q449" s="1">
        <v>1.2</v>
      </c>
      <c r="R449" s="1">
        <v>19.7</v>
      </c>
      <c r="S449" s="1">
        <v>6.2</v>
      </c>
      <c r="T449" s="1">
        <v>54.2</v>
      </c>
      <c r="U449" s="1">
        <v>0.9</v>
      </c>
      <c r="V449" s="1">
        <v>0.8</v>
      </c>
      <c r="W449" s="1">
        <v>1.7</v>
      </c>
      <c r="X449" s="1">
        <f t="array" ref="X449:AR449">XLOOKUP(MID(A449, SEARCH("+++", A449) + 3, LEN(A449)),'Defensive Data'!$A$2:$A$134,'Defensive Data'!$D$2:$X$134)</f>
        <v>17</v>
      </c>
      <c r="Y449" s="1">
        <v>26.9</v>
      </c>
      <c r="Z449" s="1">
        <v>63.2</v>
      </c>
      <c r="AA449" s="1">
        <v>208.3</v>
      </c>
      <c r="AB449" s="1">
        <v>1.8</v>
      </c>
      <c r="AC449" s="1">
        <v>40.3</v>
      </c>
      <c r="AD449" s="1">
        <v>210.3</v>
      </c>
      <c r="AE449" s="1">
        <v>5.2</v>
      </c>
      <c r="AF449" s="1">
        <v>2.3</v>
      </c>
      <c r="AG449" s="1">
        <v>67.2</v>
      </c>
      <c r="AH449" s="1">
        <v>418.7</v>
      </c>
      <c r="AI449" s="1">
        <v>6.2</v>
      </c>
      <c r="AJ449" s="1">
        <v>9.8</v>
      </c>
      <c r="AK449" s="1">
        <v>10.8</v>
      </c>
      <c r="AL449" s="1">
        <v>1.5</v>
      </c>
      <c r="AM449" s="1">
        <v>22.1</v>
      </c>
      <c r="AN449" s="1">
        <v>6.6</v>
      </c>
      <c r="AO449" s="1">
        <v>58.3</v>
      </c>
      <c r="AP449" s="1">
        <v>0.7</v>
      </c>
      <c r="AQ449" s="1">
        <v>0.8</v>
      </c>
      <c r="AR449" s="1">
        <v>1.4</v>
      </c>
    </row>
    <row r="450" ht="15.75" customHeight="1">
      <c r="A450" s="1" t="str">
        <f>CONCATENATE(Scores!A450,"+++",Scores!C450)</f>
        <v> Oregon+++ Ohio State</v>
      </c>
      <c r="B450" s="1">
        <f>Scores!B450</f>
        <v>32</v>
      </c>
      <c r="C450" s="1" t="str">
        <f t="array" ref="C450">XLOOKUP(LEFT(A450,SEARCH("+",A450)-1),'Offensive Data'!$A$2:$A$134,'Offensive Data'!$D$2:$X$134)</f>
        <v>#N/A</v>
      </c>
      <c r="X450" s="1" t="str">
        <f t="array" ref="X450">XLOOKUP(MID(A450, SEARCH("+++", A450) + 3, LEN(A450)),'Defensive Data'!$A$2:$A$134,'Defensive Data'!$D$2:$X$134)</f>
        <v>#N/A</v>
      </c>
    </row>
    <row r="451" ht="15.75" customHeight="1">
      <c r="A451" s="1" t="str">
        <f>CONCATENATE(Scores!A451,"+++",Scores!C451)</f>
        <v> Penn State+++Southern California</v>
      </c>
      <c r="B451" s="1">
        <f>Scores!B451</f>
        <v>33</v>
      </c>
      <c r="C451" s="1" t="str">
        <f t="array" ref="C451">XLOOKUP(LEFT(A451,SEARCH("+",A451)-1),'Offensive Data'!$A$2:$A$134,'Offensive Data'!$D$2:$X$134)</f>
        <v>#N/A</v>
      </c>
      <c r="X451" s="1" t="str">
        <f t="array" ref="X451">XLOOKUP(MID(A451, SEARCH("+++", A451) + 3, LEN(A451)),'Defensive Data'!$A$2:$A$134,'Defensive Data'!$D$2:$X$134)</f>
        <v>#N/A</v>
      </c>
    </row>
    <row r="452" ht="15.75" customHeight="1">
      <c r="A452" s="1" t="str">
        <f>CONCATENATE(Scores!A452,"+++",Scores!C452)</f>
        <v> Pittsburgh+++California</v>
      </c>
      <c r="B452" s="1">
        <f>Scores!B452</f>
        <v>17</v>
      </c>
      <c r="C452" s="1" t="str">
        <f t="array" ref="C452">XLOOKUP(LEFT(A452,SEARCH("+",A452)-1),'Offensive Data'!$A$2:$A$134,'Offensive Data'!$D$2:$X$134)</f>
        <v>#N/A</v>
      </c>
      <c r="X452" s="1">
        <f t="array" ref="X452:AR452">XLOOKUP(MID(A452, SEARCH("+++", A452) + 3, LEN(A452)),'Defensive Data'!$A$2:$A$134,'Defensive Data'!$D$2:$X$134)</f>
        <v>19.2</v>
      </c>
      <c r="Y452" s="1">
        <v>34.0</v>
      </c>
      <c r="Z452" s="1">
        <v>56.6</v>
      </c>
      <c r="AA452" s="1">
        <v>227.6</v>
      </c>
      <c r="AB452" s="1">
        <v>1.3</v>
      </c>
      <c r="AC452" s="1">
        <v>33.6</v>
      </c>
      <c r="AD452" s="1">
        <v>109.8</v>
      </c>
      <c r="AE452" s="1">
        <v>3.3</v>
      </c>
      <c r="AF452" s="1">
        <v>1.5</v>
      </c>
      <c r="AG452" s="1">
        <v>67.6</v>
      </c>
      <c r="AH452" s="1">
        <v>337.5</v>
      </c>
      <c r="AI452" s="1">
        <v>5.0</v>
      </c>
      <c r="AJ452" s="1">
        <v>10.8</v>
      </c>
      <c r="AK452" s="1">
        <v>5.7</v>
      </c>
      <c r="AL452" s="1">
        <v>1.8</v>
      </c>
      <c r="AM452" s="1">
        <v>18.3</v>
      </c>
      <c r="AN452" s="1">
        <v>6.6</v>
      </c>
      <c r="AO452" s="1">
        <v>60.3</v>
      </c>
      <c r="AP452" s="1">
        <v>0.4</v>
      </c>
      <c r="AQ452" s="1">
        <v>1.3</v>
      </c>
      <c r="AR452" s="1">
        <v>1.7</v>
      </c>
    </row>
    <row r="453" ht="15.75" customHeight="1">
      <c r="A453" s="1" t="str">
        <f>CONCATENATE(Scores!A453,"+++",Scores!C453)</f>
        <v>Rice+++Texas-San Antonio</v>
      </c>
      <c r="B453" s="1">
        <f>Scores!B453</f>
        <v>29</v>
      </c>
      <c r="C453" s="1">
        <f t="array" ref="C453:W453">XLOOKUP(LEFT(A453,SEARCH("+",A453)-1),'Offensive Data'!$A$2:$A$134,'Offensive Data'!$D$2:$X$134)</f>
        <v>24.4</v>
      </c>
      <c r="D453" s="1">
        <v>39.8</v>
      </c>
      <c r="E453" s="1">
        <v>61.3</v>
      </c>
      <c r="F453" s="1">
        <v>239.0</v>
      </c>
      <c r="G453" s="1">
        <v>1.4</v>
      </c>
      <c r="H453" s="1">
        <v>25.1</v>
      </c>
      <c r="I453" s="1">
        <v>113.9</v>
      </c>
      <c r="J453" s="1">
        <v>4.5</v>
      </c>
      <c r="K453" s="1">
        <v>1.2</v>
      </c>
      <c r="L453" s="1">
        <v>64.9</v>
      </c>
      <c r="M453" s="1">
        <v>352.9</v>
      </c>
      <c r="N453" s="1">
        <v>5.4</v>
      </c>
      <c r="O453" s="1">
        <v>10.4</v>
      </c>
      <c r="P453" s="1">
        <v>6.2</v>
      </c>
      <c r="Q453" s="1">
        <v>1.8</v>
      </c>
      <c r="R453" s="1">
        <v>18.3</v>
      </c>
      <c r="S453" s="1">
        <v>7.1</v>
      </c>
      <c r="T453" s="1">
        <v>57.4</v>
      </c>
      <c r="U453" s="1">
        <v>0.8</v>
      </c>
      <c r="V453" s="1">
        <v>1.1</v>
      </c>
      <c r="W453" s="1">
        <v>1.8</v>
      </c>
      <c r="X453" s="1" t="str">
        <f t="array" ref="X453">XLOOKUP(MID(A453, SEARCH("+++", A453) + 3, LEN(A453)),'Defensive Data'!$A$2:$A$134,'Defensive Data'!$D$2:$X$134)</f>
        <v>#N/A</v>
      </c>
    </row>
    <row r="454" ht="15.75" customHeight="1">
      <c r="A454" s="1" t="str">
        <f>CONCATENATE(Scores!A454,"+++",Scores!C454)</f>
        <v>San Diego State+++Wyoming</v>
      </c>
      <c r="B454" s="1">
        <f>Scores!B454</f>
        <v>27</v>
      </c>
      <c r="C454" s="1">
        <f t="array" ref="C454:W454">XLOOKUP(LEFT(A454,SEARCH("+",A454)-1),'Offensive Data'!$A$2:$A$134,'Offensive Data'!$D$2:$X$134)</f>
        <v>19.5</v>
      </c>
      <c r="D454" s="1">
        <v>31.3</v>
      </c>
      <c r="E454" s="1">
        <v>62.4</v>
      </c>
      <c r="F454" s="1">
        <v>205.7</v>
      </c>
      <c r="G454" s="1">
        <v>1.3</v>
      </c>
      <c r="H454" s="1">
        <v>35.3</v>
      </c>
      <c r="I454" s="1">
        <v>128.9</v>
      </c>
      <c r="J454" s="1">
        <v>3.6</v>
      </c>
      <c r="K454" s="1">
        <v>1.1</v>
      </c>
      <c r="L454" s="1">
        <v>66.6</v>
      </c>
      <c r="M454" s="1">
        <v>334.6</v>
      </c>
      <c r="N454" s="1">
        <v>5.0</v>
      </c>
      <c r="O454" s="1">
        <v>9.5</v>
      </c>
      <c r="P454" s="1">
        <v>6.9</v>
      </c>
      <c r="Q454" s="1">
        <v>2.1</v>
      </c>
      <c r="R454" s="1">
        <v>18.5</v>
      </c>
      <c r="S454" s="1">
        <v>9.1</v>
      </c>
      <c r="T454" s="1">
        <v>81.8</v>
      </c>
      <c r="U454" s="1">
        <v>0.1</v>
      </c>
      <c r="V454" s="1">
        <v>0.7</v>
      </c>
      <c r="W454" s="1">
        <v>0.8</v>
      </c>
      <c r="X454" s="1">
        <f t="array" ref="X454:AR454">XLOOKUP(MID(A454, SEARCH("+++", A454) + 3, LEN(A454)),'Defensive Data'!$A$2:$A$134,'Defensive Data'!$D$2:$X$134)</f>
        <v>17.6</v>
      </c>
      <c r="Y454" s="1">
        <v>28.5</v>
      </c>
      <c r="Z454" s="1">
        <v>61.7</v>
      </c>
      <c r="AA454" s="1">
        <v>218.9</v>
      </c>
      <c r="AB454" s="1">
        <v>1.3</v>
      </c>
      <c r="AC454" s="1">
        <v>35.0</v>
      </c>
      <c r="AD454" s="1">
        <v>191.7</v>
      </c>
      <c r="AE454" s="1">
        <v>5.5</v>
      </c>
      <c r="AF454" s="1">
        <v>1.8</v>
      </c>
      <c r="AG454" s="1">
        <v>63.5</v>
      </c>
      <c r="AH454" s="1">
        <v>410.6</v>
      </c>
      <c r="AI454" s="1">
        <v>6.5</v>
      </c>
      <c r="AJ454" s="1">
        <v>9.8</v>
      </c>
      <c r="AK454" s="1">
        <v>8.7</v>
      </c>
      <c r="AL454" s="1">
        <v>1.5</v>
      </c>
      <c r="AM454" s="1">
        <v>19.9</v>
      </c>
      <c r="AN454" s="1">
        <v>7.1</v>
      </c>
      <c r="AO454" s="1">
        <v>58.8</v>
      </c>
      <c r="AP454" s="1">
        <v>0.4</v>
      </c>
      <c r="AQ454" s="1">
        <v>0.5</v>
      </c>
      <c r="AR454" s="1">
        <v>0.9</v>
      </c>
    </row>
    <row r="455" ht="15.75" customHeight="1">
      <c r="A455" s="1" t="str">
        <f>CONCATENATE(Scores!A455,"+++",Scores!C455)</f>
        <v>Syracuse+++North Carolina State</v>
      </c>
      <c r="B455" s="1">
        <f>Scores!B455</f>
        <v>24</v>
      </c>
      <c r="C455" s="1">
        <f t="array" ref="C455:W455">XLOOKUP(LEFT(A455,SEARCH("+",A455)-1),'Offensive Data'!$A$2:$A$134,'Offensive Data'!$D$2:$X$134)</f>
        <v>30.2</v>
      </c>
      <c r="D455" s="1">
        <v>46.0</v>
      </c>
      <c r="E455" s="1">
        <v>65.7</v>
      </c>
      <c r="F455" s="1">
        <v>370.0</v>
      </c>
      <c r="G455" s="1">
        <v>2.6</v>
      </c>
      <c r="H455" s="1">
        <v>30.9</v>
      </c>
      <c r="I455" s="1">
        <v>97.6</v>
      </c>
      <c r="J455" s="1">
        <v>3.2</v>
      </c>
      <c r="K455" s="1">
        <v>1.7</v>
      </c>
      <c r="L455" s="1">
        <v>76.9</v>
      </c>
      <c r="M455" s="1">
        <v>467.6</v>
      </c>
      <c r="N455" s="1">
        <v>6.1</v>
      </c>
      <c r="O455" s="1">
        <v>17.8</v>
      </c>
      <c r="P455" s="1">
        <v>6.5</v>
      </c>
      <c r="Q455" s="1">
        <v>1.8</v>
      </c>
      <c r="R455" s="1">
        <v>26.0</v>
      </c>
      <c r="S455" s="1">
        <v>7.1</v>
      </c>
      <c r="T455" s="1">
        <v>59.2</v>
      </c>
      <c r="U455" s="1">
        <v>0.2</v>
      </c>
      <c r="V455" s="1">
        <v>0.9</v>
      </c>
      <c r="W455" s="1">
        <v>1.2</v>
      </c>
      <c r="X455" s="1">
        <f t="array" ref="X455:AR455">XLOOKUP(MID(A455, SEARCH("+++", A455) + 3, LEN(A455)),'Defensive Data'!$A$2:$A$134,'Defensive Data'!$D$2:$X$134)</f>
        <v>20.1</v>
      </c>
      <c r="Y455" s="1">
        <v>32.8</v>
      </c>
      <c r="Z455" s="1">
        <v>61.3</v>
      </c>
      <c r="AA455" s="1">
        <v>233.8</v>
      </c>
      <c r="AB455" s="1">
        <v>1.5</v>
      </c>
      <c r="AC455" s="1">
        <v>32.4</v>
      </c>
      <c r="AD455" s="1">
        <v>157.0</v>
      </c>
      <c r="AE455" s="1">
        <v>4.8</v>
      </c>
      <c r="AF455" s="1">
        <v>1.9</v>
      </c>
      <c r="AG455" s="1">
        <v>65.2</v>
      </c>
      <c r="AH455" s="1">
        <v>390.8</v>
      </c>
      <c r="AI455" s="1">
        <v>6.0</v>
      </c>
      <c r="AJ455" s="1">
        <v>10.2</v>
      </c>
      <c r="AK455" s="1">
        <v>7.7</v>
      </c>
      <c r="AL455" s="1">
        <v>1.5</v>
      </c>
      <c r="AM455" s="1">
        <v>19.5</v>
      </c>
      <c r="AN455" s="1">
        <v>6.2</v>
      </c>
      <c r="AO455" s="1">
        <v>55.2</v>
      </c>
      <c r="AP455" s="1">
        <v>0.8</v>
      </c>
      <c r="AQ455" s="1">
        <v>0.8</v>
      </c>
      <c r="AR455" s="1">
        <v>1.5</v>
      </c>
    </row>
    <row r="456" ht="15.75" customHeight="1">
      <c r="A456" s="1" t="str">
        <f>CONCATENATE(Scores!A456,"+++",Scores!C456)</f>
        <v> Tennessee+++Florida</v>
      </c>
      <c r="B456" s="1">
        <f>Scores!B456</f>
        <v>23</v>
      </c>
      <c r="C456" s="1" t="str">
        <f t="array" ref="C456">XLOOKUP(LEFT(A456,SEARCH("+",A456)-1),'Offensive Data'!$A$2:$A$134,'Offensive Data'!$D$2:$X$134)</f>
        <v>#N/A</v>
      </c>
      <c r="X456" s="1">
        <f t="array" ref="X456:AR456">XLOOKUP(MID(A456, SEARCH("+++", A456) + 3, LEN(A456)),'Defensive Data'!$A$2:$A$134,'Defensive Data'!$D$2:$X$134)</f>
        <v>18.8</v>
      </c>
      <c r="Y456" s="1">
        <v>32.4</v>
      </c>
      <c r="Z456" s="1">
        <v>58.0</v>
      </c>
      <c r="AA456" s="1">
        <v>227.5</v>
      </c>
      <c r="AB456" s="1">
        <v>1.4</v>
      </c>
      <c r="AC456" s="1">
        <v>39.4</v>
      </c>
      <c r="AD456" s="1">
        <v>149.5</v>
      </c>
      <c r="AE456" s="1">
        <v>3.8</v>
      </c>
      <c r="AF456" s="1">
        <v>1.3</v>
      </c>
      <c r="AG456" s="1">
        <v>71.8</v>
      </c>
      <c r="AH456" s="1">
        <v>376.9</v>
      </c>
      <c r="AI456" s="1">
        <v>5.3</v>
      </c>
      <c r="AJ456" s="1">
        <v>10.5</v>
      </c>
      <c r="AK456" s="1">
        <v>9.3</v>
      </c>
      <c r="AL456" s="1">
        <v>1.8</v>
      </c>
      <c r="AM456" s="1">
        <v>21.7</v>
      </c>
      <c r="AN456" s="1">
        <v>4.8</v>
      </c>
      <c r="AO456" s="1">
        <v>44.1</v>
      </c>
      <c r="AP456" s="1">
        <v>0.8</v>
      </c>
      <c r="AQ456" s="1">
        <v>1.1</v>
      </c>
      <c r="AR456" s="1">
        <v>1.9</v>
      </c>
    </row>
    <row r="457" ht="15.75" customHeight="1">
      <c r="A457" s="1" t="str">
        <f>CONCATENATE(Scores!A457,"+++",Scores!C457)</f>
        <v> Texas+++ Oklahoma</v>
      </c>
      <c r="B457" s="1">
        <f>Scores!B457</f>
        <v>34</v>
      </c>
      <c r="C457" s="1" t="str">
        <f t="array" ref="C457">XLOOKUP(LEFT(A457,SEARCH("+",A457)-1),'Offensive Data'!$A$2:$A$134,'Offensive Data'!$D$2:$X$134)</f>
        <v>#N/A</v>
      </c>
      <c r="X457" s="1" t="str">
        <f t="array" ref="X457">XLOOKUP(MID(A457, SEARCH("+++", A457) + 3, LEN(A457)),'Defensive Data'!$A$2:$A$134,'Defensive Data'!$D$2:$X$134)</f>
        <v>#N/A</v>
      </c>
    </row>
    <row r="458" ht="15.75" customHeight="1">
      <c r="A458" s="1" t="str">
        <f>CONCATENATE(Scores!A458,"+++",Scores!C458)</f>
        <v>Texas State+++Arkansas State</v>
      </c>
      <c r="B458" s="1">
        <f>Scores!B458</f>
        <v>41</v>
      </c>
      <c r="C458" s="1">
        <f t="array" ref="C458:W458">XLOOKUP(LEFT(A458,SEARCH("+",A458)-1),'Offensive Data'!$A$2:$A$134,'Offensive Data'!$D$2:$X$134)</f>
        <v>23</v>
      </c>
      <c r="D458" s="1">
        <v>32.9</v>
      </c>
      <c r="E458" s="1">
        <v>69.9</v>
      </c>
      <c r="F458" s="1">
        <v>268.7</v>
      </c>
      <c r="G458" s="1">
        <v>2.4</v>
      </c>
      <c r="H458" s="1">
        <v>40.7</v>
      </c>
      <c r="I458" s="1">
        <v>208.2</v>
      </c>
      <c r="J458" s="1">
        <v>5.1</v>
      </c>
      <c r="K458" s="1">
        <v>2.1</v>
      </c>
      <c r="L458" s="1">
        <v>73.6</v>
      </c>
      <c r="M458" s="1">
        <v>476.9</v>
      </c>
      <c r="N458" s="1">
        <v>6.5</v>
      </c>
      <c r="O458" s="1">
        <v>12.4</v>
      </c>
      <c r="P458" s="1">
        <v>12.1</v>
      </c>
      <c r="Q458" s="1">
        <v>1.6</v>
      </c>
      <c r="R458" s="1">
        <v>26.1</v>
      </c>
      <c r="S458" s="1">
        <v>6.8</v>
      </c>
      <c r="T458" s="1">
        <v>64.2</v>
      </c>
      <c r="U458" s="1">
        <v>0.7</v>
      </c>
      <c r="V458" s="1">
        <v>1.1</v>
      </c>
      <c r="W458" s="1">
        <v>1.8</v>
      </c>
      <c r="X458" s="1">
        <f t="array" ref="X458:AR458">XLOOKUP(MID(A458, SEARCH("+++", A458) + 3, LEN(A458)),'Defensive Data'!$A$2:$A$134,'Defensive Data'!$D$2:$X$134)</f>
        <v>18.8</v>
      </c>
      <c r="Y458" s="1">
        <v>29.9</v>
      </c>
      <c r="Z458" s="1">
        <v>63.0</v>
      </c>
      <c r="AA458" s="1">
        <v>250.1</v>
      </c>
      <c r="AB458" s="1">
        <v>1.8</v>
      </c>
      <c r="AC458" s="1">
        <v>37.2</v>
      </c>
      <c r="AD458" s="1">
        <v>211.7</v>
      </c>
      <c r="AE458" s="1">
        <v>5.7</v>
      </c>
      <c r="AF458" s="1">
        <v>2.5</v>
      </c>
      <c r="AG458" s="1">
        <v>67.1</v>
      </c>
      <c r="AH458" s="1">
        <v>461.8</v>
      </c>
      <c r="AI458" s="1">
        <v>6.9</v>
      </c>
      <c r="AJ458" s="1">
        <v>10.6</v>
      </c>
      <c r="AK458" s="1">
        <v>10.4</v>
      </c>
      <c r="AL458" s="1">
        <v>1.8</v>
      </c>
      <c r="AM458" s="1">
        <v>22.8</v>
      </c>
      <c r="AN458" s="1">
        <v>7.2</v>
      </c>
      <c r="AO458" s="1">
        <v>58.6</v>
      </c>
      <c r="AP458" s="1">
        <v>0.5</v>
      </c>
      <c r="AQ458" s="1">
        <v>1.1</v>
      </c>
      <c r="AR458" s="1">
        <v>1.5</v>
      </c>
    </row>
    <row r="459" ht="15.75" customHeight="1">
      <c r="A459" s="1" t="str">
        <f>CONCATENATE(Scores!A459,"+++",Scores!C459)</f>
        <v>Vanderbilt+++Kentucky</v>
      </c>
      <c r="B459" s="1">
        <f>Scores!B459</f>
        <v>20</v>
      </c>
      <c r="C459" s="1">
        <f t="array" ref="C459:W459">XLOOKUP(LEFT(A459,SEARCH("+",A459)-1),'Offensive Data'!$A$2:$A$134,'Offensive Data'!$D$2:$X$134)</f>
        <v>13.8</v>
      </c>
      <c r="D459" s="1">
        <v>23.4</v>
      </c>
      <c r="E459" s="1">
        <v>58.9</v>
      </c>
      <c r="F459" s="1">
        <v>178.6</v>
      </c>
      <c r="G459" s="1">
        <v>1.6</v>
      </c>
      <c r="H459" s="1">
        <v>36.5</v>
      </c>
      <c r="I459" s="1">
        <v>139.8</v>
      </c>
      <c r="J459" s="1">
        <v>3.8</v>
      </c>
      <c r="K459" s="1">
        <v>1.4</v>
      </c>
      <c r="L459" s="1">
        <v>59.9</v>
      </c>
      <c r="M459" s="1">
        <v>318.4</v>
      </c>
      <c r="N459" s="1">
        <v>5.3</v>
      </c>
      <c r="O459" s="1">
        <v>8.2</v>
      </c>
      <c r="P459" s="1">
        <v>8.1</v>
      </c>
      <c r="Q459" s="1">
        <v>1.9</v>
      </c>
      <c r="R459" s="1">
        <v>18.2</v>
      </c>
      <c r="S459" s="1">
        <v>5.6</v>
      </c>
      <c r="T459" s="1">
        <v>54.4</v>
      </c>
      <c r="U459" s="1">
        <v>0.2</v>
      </c>
      <c r="V459" s="1">
        <v>0.3</v>
      </c>
      <c r="W459" s="1">
        <v>0.5</v>
      </c>
      <c r="X459" s="1">
        <f t="array" ref="X459:AR459">XLOOKUP(MID(A459, SEARCH("+++", A459) + 3, LEN(A459)),'Defensive Data'!$A$2:$A$134,'Defensive Data'!$D$2:$X$134)</f>
        <v>14.8</v>
      </c>
      <c r="Y459" s="1">
        <v>23.3</v>
      </c>
      <c r="Z459" s="1">
        <v>63.4</v>
      </c>
      <c r="AA459" s="1">
        <v>183.7</v>
      </c>
      <c r="AB459" s="1">
        <v>0.8</v>
      </c>
      <c r="AC459" s="1">
        <v>36.3</v>
      </c>
      <c r="AD459" s="1">
        <v>161.8</v>
      </c>
      <c r="AE459" s="1">
        <v>4.5</v>
      </c>
      <c r="AF459" s="1">
        <v>1.7</v>
      </c>
      <c r="AG459" s="1">
        <v>59.6</v>
      </c>
      <c r="AH459" s="1">
        <v>345.5</v>
      </c>
      <c r="AI459" s="1">
        <v>5.8</v>
      </c>
      <c r="AJ459" s="1">
        <v>7.8</v>
      </c>
      <c r="AK459" s="1">
        <v>8.7</v>
      </c>
      <c r="AL459" s="1">
        <v>1.4</v>
      </c>
      <c r="AM459" s="1">
        <v>17.9</v>
      </c>
      <c r="AN459" s="1">
        <v>6.8</v>
      </c>
      <c r="AO459" s="1">
        <v>55.2</v>
      </c>
      <c r="AP459" s="1">
        <v>0.5</v>
      </c>
      <c r="AQ459" s="1">
        <v>0.8</v>
      </c>
      <c r="AR459" s="1">
        <v>1.3</v>
      </c>
    </row>
    <row r="460" ht="15.75" customHeight="1">
      <c r="A460" s="1" t="str">
        <f>CONCATENATE(Scores!A460,"+++",Scores!C460)</f>
        <v>Washington State+++Fresno State</v>
      </c>
      <c r="B460" s="1">
        <f>Scores!B460</f>
        <v>25</v>
      </c>
      <c r="C460" s="1">
        <f t="array" ref="C460:W460">XLOOKUP(LEFT(A460,SEARCH("+",A460)-1),'Offensive Data'!$A$2:$A$134,'Offensive Data'!$D$2:$X$134)</f>
        <v>20.2</v>
      </c>
      <c r="D460" s="1">
        <v>30.7</v>
      </c>
      <c r="E460" s="1">
        <v>65.9</v>
      </c>
      <c r="F460" s="1">
        <v>276.1</v>
      </c>
      <c r="G460" s="1">
        <v>2.5</v>
      </c>
      <c r="H460" s="1">
        <v>36.2</v>
      </c>
      <c r="I460" s="1">
        <v>166.8</v>
      </c>
      <c r="J460" s="1">
        <v>4.6</v>
      </c>
      <c r="K460" s="1">
        <v>2.2</v>
      </c>
      <c r="L460" s="1">
        <v>66.8</v>
      </c>
      <c r="M460" s="1">
        <v>442.8</v>
      </c>
      <c r="N460" s="1">
        <v>6.6</v>
      </c>
      <c r="O460" s="1">
        <v>11.8</v>
      </c>
      <c r="P460" s="1">
        <v>9.1</v>
      </c>
      <c r="Q460" s="1">
        <v>2.0</v>
      </c>
      <c r="R460" s="1">
        <v>22.9</v>
      </c>
      <c r="S460" s="1">
        <v>6.2</v>
      </c>
      <c r="T460" s="1">
        <v>57.8</v>
      </c>
      <c r="U460" s="1">
        <v>0.4</v>
      </c>
      <c r="V460" s="1">
        <v>0.7</v>
      </c>
      <c r="W460" s="1">
        <v>1.1</v>
      </c>
      <c r="X460" s="1">
        <f t="array" ref="X460:AR460">XLOOKUP(MID(A460, SEARCH("+++", A460) + 3, LEN(A460)),'Defensive Data'!$A$2:$A$134,'Defensive Data'!$D$2:$X$134)</f>
        <v>19.7</v>
      </c>
      <c r="Y460" s="1">
        <v>36.1</v>
      </c>
      <c r="Z460" s="1">
        <v>54.6</v>
      </c>
      <c r="AA460" s="1">
        <v>216.2</v>
      </c>
      <c r="AB460" s="1">
        <v>1.6</v>
      </c>
      <c r="AC460" s="1">
        <v>36.5</v>
      </c>
      <c r="AD460" s="1">
        <v>139.4</v>
      </c>
      <c r="AE460" s="1">
        <v>3.8</v>
      </c>
      <c r="AF460" s="1">
        <v>1.1</v>
      </c>
      <c r="AG460" s="1">
        <v>72.5</v>
      </c>
      <c r="AH460" s="1">
        <v>355.6</v>
      </c>
      <c r="AI460" s="1">
        <v>4.9</v>
      </c>
      <c r="AJ460" s="1">
        <v>9.9</v>
      </c>
      <c r="AK460" s="1">
        <v>8.5</v>
      </c>
      <c r="AL460" s="1">
        <v>2.4</v>
      </c>
      <c r="AM460" s="1">
        <v>20.8</v>
      </c>
      <c r="AN460" s="1">
        <v>6.9</v>
      </c>
      <c r="AO460" s="1">
        <v>63.1</v>
      </c>
      <c r="AP460" s="1">
        <v>0.4</v>
      </c>
      <c r="AQ460" s="1">
        <v>1.2</v>
      </c>
      <c r="AR460" s="1">
        <v>1.5</v>
      </c>
    </row>
    <row r="461" ht="15.75" customHeight="1">
      <c r="A461" s="1" t="str">
        <f>CONCATENATE(Scores!A461,"+++",Scores!C461)</f>
        <v>Western Michigan+++Akron</v>
      </c>
      <c r="B461" s="1">
        <f>Scores!B461</f>
        <v>34</v>
      </c>
      <c r="C461" s="1">
        <f t="array" ref="C461:W461">XLOOKUP(LEFT(A461,SEARCH("+",A461)-1),'Offensive Data'!$A$2:$A$134,'Offensive Data'!$D$2:$X$134)</f>
        <v>16.3</v>
      </c>
      <c r="D461" s="1">
        <v>24.8</v>
      </c>
      <c r="E461" s="1">
        <v>65.6</v>
      </c>
      <c r="F461" s="1">
        <v>187.0</v>
      </c>
      <c r="G461" s="1">
        <v>1.4</v>
      </c>
      <c r="H461" s="1">
        <v>37.2</v>
      </c>
      <c r="I461" s="1">
        <v>183.0</v>
      </c>
      <c r="J461" s="1">
        <v>4.9</v>
      </c>
      <c r="K461" s="1">
        <v>2.2</v>
      </c>
      <c r="L461" s="1">
        <v>62.1</v>
      </c>
      <c r="M461" s="1">
        <v>370.0</v>
      </c>
      <c r="N461" s="1">
        <v>6.0</v>
      </c>
      <c r="O461" s="1">
        <v>8.7</v>
      </c>
      <c r="P461" s="1">
        <v>9.4</v>
      </c>
      <c r="Q461" s="1">
        <v>1.4</v>
      </c>
      <c r="R461" s="1">
        <v>19.5</v>
      </c>
      <c r="S461" s="1">
        <v>4.2</v>
      </c>
      <c r="T461" s="1">
        <v>39.2</v>
      </c>
      <c r="U461" s="1">
        <v>0.3</v>
      </c>
      <c r="V461" s="1">
        <v>0.7</v>
      </c>
      <c r="W461" s="1">
        <v>1.0</v>
      </c>
      <c r="X461" s="1">
        <f t="array" ref="X461:AR461">XLOOKUP(MID(A461, SEARCH("+++", A461) + 3, LEN(A461)),'Defensive Data'!$A$2:$A$134,'Defensive Data'!$D$2:$X$134)</f>
        <v>18.4</v>
      </c>
      <c r="Y461" s="1">
        <v>28.6</v>
      </c>
      <c r="Z461" s="1">
        <v>64.4</v>
      </c>
      <c r="AA461" s="1">
        <v>231.1</v>
      </c>
      <c r="AB461" s="1">
        <v>2.0</v>
      </c>
      <c r="AC461" s="1">
        <v>39.7</v>
      </c>
      <c r="AD461" s="1">
        <v>183.3</v>
      </c>
      <c r="AE461" s="1">
        <v>4.6</v>
      </c>
      <c r="AF461" s="1">
        <v>1.9</v>
      </c>
      <c r="AG461" s="1">
        <v>68.3</v>
      </c>
      <c r="AH461" s="1">
        <v>414.4</v>
      </c>
      <c r="AI461" s="1">
        <v>6.1</v>
      </c>
      <c r="AJ461" s="1">
        <v>10.2</v>
      </c>
      <c r="AK461" s="1">
        <v>8.7</v>
      </c>
      <c r="AL461" s="1">
        <v>1.6</v>
      </c>
      <c r="AM461" s="1">
        <v>20.4</v>
      </c>
      <c r="AN461" s="1">
        <v>6.7</v>
      </c>
      <c r="AO461" s="1">
        <v>53.4</v>
      </c>
      <c r="AP461" s="1">
        <v>0.6</v>
      </c>
      <c r="AQ461" s="1">
        <v>0.3</v>
      </c>
      <c r="AR461" s="1">
        <v>0.8</v>
      </c>
    </row>
    <row r="462" ht="15.75" customHeight="1">
      <c r="A462" s="1" t="str">
        <f>CONCATENATE(Scores!A462,"+++",Scores!C462)</f>
        <v>Wisconsin+++Rutgers</v>
      </c>
      <c r="B462" s="1">
        <f>Scores!B462</f>
        <v>42</v>
      </c>
      <c r="C462" s="1">
        <f t="array" ref="C462:W462">XLOOKUP(LEFT(A462,SEARCH("+",A462)-1),'Offensive Data'!$A$2:$A$134,'Offensive Data'!$D$2:$X$134)</f>
        <v>17.3</v>
      </c>
      <c r="D462" s="1">
        <v>30.4</v>
      </c>
      <c r="E462" s="1">
        <v>57.0</v>
      </c>
      <c r="F462" s="1">
        <v>196.7</v>
      </c>
      <c r="G462" s="1">
        <v>1.2</v>
      </c>
      <c r="H462" s="1">
        <v>35.2</v>
      </c>
      <c r="I462" s="1">
        <v>153.7</v>
      </c>
      <c r="J462" s="1">
        <v>4.4</v>
      </c>
      <c r="K462" s="1">
        <v>1.6</v>
      </c>
      <c r="L462" s="1">
        <v>65.6</v>
      </c>
      <c r="M462" s="1">
        <v>350.3</v>
      </c>
      <c r="N462" s="1">
        <v>5.3</v>
      </c>
      <c r="O462" s="1">
        <v>8.2</v>
      </c>
      <c r="P462" s="1">
        <v>8.7</v>
      </c>
      <c r="Q462" s="1">
        <v>1.9</v>
      </c>
      <c r="R462" s="1">
        <v>18.8</v>
      </c>
      <c r="S462" s="1">
        <v>5.3</v>
      </c>
      <c r="T462" s="1">
        <v>37.5</v>
      </c>
      <c r="U462" s="1">
        <v>0.7</v>
      </c>
      <c r="V462" s="1">
        <v>0.8</v>
      </c>
      <c r="W462" s="1">
        <v>1.5</v>
      </c>
      <c r="X462" s="1">
        <f t="array" ref="X462:AR462">XLOOKUP(MID(A462, SEARCH("+++", A462) + 3, LEN(A462)),'Defensive Data'!$A$2:$A$134,'Defensive Data'!$D$2:$X$134)</f>
        <v>19.7</v>
      </c>
      <c r="Y462" s="1">
        <v>32.8</v>
      </c>
      <c r="Z462" s="1">
        <v>60.0</v>
      </c>
      <c r="AA462" s="1">
        <v>231.1</v>
      </c>
      <c r="AB462" s="1">
        <v>1.4</v>
      </c>
      <c r="AC462" s="1">
        <v>31.2</v>
      </c>
      <c r="AD462" s="1">
        <v>162.8</v>
      </c>
      <c r="AE462" s="1">
        <v>5.2</v>
      </c>
      <c r="AF462" s="1">
        <v>2.0</v>
      </c>
      <c r="AG462" s="1">
        <v>64.1</v>
      </c>
      <c r="AH462" s="1">
        <v>393.8</v>
      </c>
      <c r="AI462" s="1">
        <v>6.1</v>
      </c>
      <c r="AJ462" s="1">
        <v>9.8</v>
      </c>
      <c r="AK462" s="1">
        <v>8.3</v>
      </c>
      <c r="AL462" s="1">
        <v>1.5</v>
      </c>
      <c r="AM462" s="1">
        <v>19.7</v>
      </c>
      <c r="AN462" s="1">
        <v>6.5</v>
      </c>
      <c r="AO462" s="1">
        <v>52.5</v>
      </c>
      <c r="AP462" s="1">
        <v>0.4</v>
      </c>
      <c r="AQ462" s="1">
        <v>0.6</v>
      </c>
      <c r="AR462" s="1">
        <v>1.0</v>
      </c>
    </row>
    <row r="463" ht="15.75" customHeight="1">
      <c r="A463" s="1" t="str">
        <f>CONCATENATE(Scores!A463,"+++",Scores!C463)</f>
        <v>Middle Tennessee State+++Kennesaw State</v>
      </c>
      <c r="B463" s="1">
        <f>Scores!B463</f>
        <v>14</v>
      </c>
      <c r="C463" s="1">
        <f t="array" ref="C463:W463">XLOOKUP(LEFT(A463,SEARCH("+",A463)-1),'Offensive Data'!$A$2:$A$134,'Offensive Data'!$D$2:$X$134)</f>
        <v>22.8</v>
      </c>
      <c r="D463" s="1">
        <v>35.7</v>
      </c>
      <c r="E463" s="1">
        <v>63.8</v>
      </c>
      <c r="F463" s="1">
        <v>261.1</v>
      </c>
      <c r="G463" s="1">
        <v>1.3</v>
      </c>
      <c r="H463" s="1">
        <v>27.9</v>
      </c>
      <c r="I463" s="1">
        <v>89.0</v>
      </c>
      <c r="J463" s="1">
        <v>3.2</v>
      </c>
      <c r="K463" s="1">
        <v>0.8</v>
      </c>
      <c r="L463" s="1">
        <v>63.6</v>
      </c>
      <c r="M463" s="1">
        <v>350.1</v>
      </c>
      <c r="N463" s="1">
        <v>5.5</v>
      </c>
      <c r="O463" s="1">
        <v>11.4</v>
      </c>
      <c r="P463" s="1">
        <v>4.8</v>
      </c>
      <c r="Q463" s="1">
        <v>2.0</v>
      </c>
      <c r="R463" s="1">
        <v>18.2</v>
      </c>
      <c r="S463" s="1">
        <v>7.3</v>
      </c>
      <c r="T463" s="1">
        <v>61.3</v>
      </c>
      <c r="U463" s="1">
        <v>0.8</v>
      </c>
      <c r="V463" s="1">
        <v>0.8</v>
      </c>
      <c r="W463" s="1">
        <v>1.6</v>
      </c>
      <c r="X463" s="1">
        <f t="array" ref="X463:AR463">XLOOKUP(MID(A463, SEARCH("+++", A463) + 3, LEN(A463)),'Defensive Data'!$A$2:$A$134,'Defensive Data'!$D$2:$X$134)</f>
        <v>20.3</v>
      </c>
      <c r="Y463" s="1">
        <v>30.1</v>
      </c>
      <c r="Z463" s="1">
        <v>67.3</v>
      </c>
      <c r="AA463" s="1">
        <v>236.8</v>
      </c>
      <c r="AB463" s="1">
        <v>1.8</v>
      </c>
      <c r="AC463" s="1">
        <v>38.2</v>
      </c>
      <c r="AD463" s="1">
        <v>175.9</v>
      </c>
      <c r="AE463" s="1">
        <v>4.6</v>
      </c>
      <c r="AF463" s="1">
        <v>2.1</v>
      </c>
      <c r="AG463" s="1">
        <v>68.3</v>
      </c>
      <c r="AH463" s="1">
        <v>412.7</v>
      </c>
      <c r="AI463" s="1">
        <v>6.0</v>
      </c>
      <c r="AJ463" s="1">
        <v>9.8</v>
      </c>
      <c r="AK463" s="1">
        <v>9.9</v>
      </c>
      <c r="AL463" s="1">
        <v>1.4</v>
      </c>
      <c r="AM463" s="1">
        <v>21.1</v>
      </c>
      <c r="AN463" s="1">
        <v>5.3</v>
      </c>
      <c r="AO463" s="1">
        <v>50.5</v>
      </c>
      <c r="AP463" s="1">
        <v>0.7</v>
      </c>
      <c r="AQ463" s="1">
        <v>0.3</v>
      </c>
      <c r="AR463" s="1">
        <v>1.0</v>
      </c>
    </row>
    <row r="464" ht="15.75" customHeight="1">
      <c r="A464" s="1" t="str">
        <f>CONCATENATE(Scores!A464,"+++",Scores!C464)</f>
        <v>New Mexico State+++Louisiana Tech</v>
      </c>
      <c r="B464" s="1">
        <f>Scores!B464</f>
        <v>33</v>
      </c>
      <c r="C464" s="1">
        <f t="array" ref="C464:W464">XLOOKUP(LEFT(A464,SEARCH("+",A464)-1),'Offensive Data'!$A$2:$A$134,'Offensive Data'!$D$2:$X$134)</f>
        <v>11.8</v>
      </c>
      <c r="D464" s="1">
        <v>26.7</v>
      </c>
      <c r="E464" s="1">
        <v>44.1</v>
      </c>
      <c r="F464" s="1">
        <v>143.2</v>
      </c>
      <c r="G464" s="1">
        <v>1.0</v>
      </c>
      <c r="H464" s="1">
        <v>41.3</v>
      </c>
      <c r="I464" s="1">
        <v>180.0</v>
      </c>
      <c r="J464" s="1">
        <v>4.4</v>
      </c>
      <c r="K464" s="1">
        <v>1.3</v>
      </c>
      <c r="L464" s="1">
        <v>67.9</v>
      </c>
      <c r="M464" s="1">
        <v>323.2</v>
      </c>
      <c r="N464" s="1">
        <v>4.8</v>
      </c>
      <c r="O464" s="1">
        <v>7.3</v>
      </c>
      <c r="P464" s="1">
        <v>9.3</v>
      </c>
      <c r="Q464" s="1">
        <v>2.8</v>
      </c>
      <c r="R464" s="1">
        <v>19.3</v>
      </c>
      <c r="S464" s="1">
        <v>5.4</v>
      </c>
      <c r="T464" s="1">
        <v>48.1</v>
      </c>
      <c r="U464" s="1">
        <v>0.9</v>
      </c>
      <c r="V464" s="1">
        <v>1.0</v>
      </c>
      <c r="W464" s="1">
        <v>1.9</v>
      </c>
      <c r="X464" s="1">
        <f t="array" ref="X464:AR464">XLOOKUP(MID(A464, SEARCH("+++", A464) + 3, LEN(A464)),'Defensive Data'!$A$2:$A$134,'Defensive Data'!$D$2:$X$134)</f>
        <v>15.7</v>
      </c>
      <c r="Y464" s="1">
        <v>28.2</v>
      </c>
      <c r="Z464" s="1">
        <v>55.7</v>
      </c>
      <c r="AA464" s="1">
        <v>172.8</v>
      </c>
      <c r="AB464" s="1">
        <v>0.8</v>
      </c>
      <c r="AC464" s="1">
        <v>37.8</v>
      </c>
      <c r="AD464" s="1">
        <v>135.5</v>
      </c>
      <c r="AE464" s="1">
        <v>3.6</v>
      </c>
      <c r="AF464" s="1">
        <v>1.6</v>
      </c>
      <c r="AG464" s="1">
        <v>65.9</v>
      </c>
      <c r="AH464" s="1">
        <v>308.4</v>
      </c>
      <c r="AI464" s="1">
        <v>4.7</v>
      </c>
      <c r="AJ464" s="1">
        <v>7.6</v>
      </c>
      <c r="AK464" s="1">
        <v>8.2</v>
      </c>
      <c r="AL464" s="1">
        <v>1.9</v>
      </c>
      <c r="AM464" s="1">
        <v>17.8</v>
      </c>
      <c r="AN464" s="1">
        <v>4.8</v>
      </c>
      <c r="AO464" s="1">
        <v>41.8</v>
      </c>
      <c r="AP464" s="1">
        <v>0.9</v>
      </c>
      <c r="AQ464" s="1">
        <v>0.4</v>
      </c>
      <c r="AR464" s="1">
        <v>1.3</v>
      </c>
    </row>
    <row r="465" ht="15.75" customHeight="1">
      <c r="A465" s="1" t="str">
        <f>CONCATENATE(Scores!A465,"+++",Scores!C465)</f>
        <v>South Alabama+++Troy</v>
      </c>
      <c r="B465" s="1">
        <f>Scores!B465</f>
        <v>25</v>
      </c>
      <c r="C465" s="1">
        <f t="array" ref="C465:W465">XLOOKUP(LEFT(A465,SEARCH("+",A465)-1),'Offensive Data'!$A$2:$A$134,'Offensive Data'!$D$2:$X$134)</f>
        <v>19.5</v>
      </c>
      <c r="D465" s="1">
        <v>30.1</v>
      </c>
      <c r="E465" s="1">
        <v>65.0</v>
      </c>
      <c r="F465" s="1">
        <v>243.5</v>
      </c>
      <c r="G465" s="1">
        <v>1.6</v>
      </c>
      <c r="H465" s="1">
        <v>34.5</v>
      </c>
      <c r="I465" s="1">
        <v>198.7</v>
      </c>
      <c r="J465" s="1">
        <v>5.8</v>
      </c>
      <c r="K465" s="1">
        <v>2.5</v>
      </c>
      <c r="L465" s="1">
        <v>64.6</v>
      </c>
      <c r="M465" s="1">
        <v>442.2</v>
      </c>
      <c r="N465" s="1">
        <v>6.8</v>
      </c>
      <c r="O465" s="1">
        <v>10.3</v>
      </c>
      <c r="P465" s="1">
        <v>10.1</v>
      </c>
      <c r="Q465" s="1">
        <v>1.2</v>
      </c>
      <c r="R465" s="1">
        <v>21.6</v>
      </c>
      <c r="S465" s="1">
        <v>8.2</v>
      </c>
      <c r="T465" s="1">
        <v>71.3</v>
      </c>
      <c r="U465" s="1">
        <v>0.5</v>
      </c>
      <c r="V465" s="1">
        <v>0.5</v>
      </c>
      <c r="W465" s="1">
        <v>0.9</v>
      </c>
      <c r="X465" s="1">
        <f t="array" ref="X465:AR465">XLOOKUP(MID(A465, SEARCH("+++", A465) + 3, LEN(A465)),'Defensive Data'!$A$2:$A$134,'Defensive Data'!$D$2:$X$134)</f>
        <v>18.5</v>
      </c>
      <c r="Y465" s="1">
        <v>27.7</v>
      </c>
      <c r="Z465" s="1">
        <v>66.9</v>
      </c>
      <c r="AA465" s="1">
        <v>221.6</v>
      </c>
      <c r="AB465" s="1">
        <v>1.1</v>
      </c>
      <c r="AC465" s="1">
        <v>33.8</v>
      </c>
      <c r="AD465" s="1">
        <v>145.3</v>
      </c>
      <c r="AE465" s="1">
        <v>4.3</v>
      </c>
      <c r="AF465" s="1">
        <v>2.0</v>
      </c>
      <c r="AG465" s="1">
        <v>61.4</v>
      </c>
      <c r="AH465" s="1">
        <v>366.9</v>
      </c>
      <c r="AI465" s="1">
        <v>6.0</v>
      </c>
      <c r="AJ465" s="1">
        <v>8.9</v>
      </c>
      <c r="AK465" s="1">
        <v>7.3</v>
      </c>
      <c r="AL465" s="1">
        <v>2.9</v>
      </c>
      <c r="AM465" s="1">
        <v>19.2</v>
      </c>
      <c r="AN465" s="1">
        <v>5.8</v>
      </c>
      <c r="AO465" s="1">
        <v>51.9</v>
      </c>
      <c r="AP465" s="1">
        <v>0.3</v>
      </c>
      <c r="AQ465" s="1">
        <v>0.5</v>
      </c>
      <c r="AR465" s="1">
        <v>0.8</v>
      </c>
    </row>
    <row r="466" ht="15.75" customHeight="1">
      <c r="A466" s="1" t="str">
        <f>CONCATENATE(Scores!A466,"+++",Scores!C466)</f>
        <v>Texas-El Paso+++Florida International</v>
      </c>
      <c r="B466" s="1">
        <f>Scores!B466</f>
        <v>30</v>
      </c>
      <c r="C466" s="1" t="str">
        <f t="array" ref="C466">XLOOKUP(LEFT(A466,SEARCH("+",A466)-1),'Offensive Data'!$A$2:$A$134,'Offensive Data'!$D$2:$X$134)</f>
        <v>#N/A</v>
      </c>
      <c r="X466" s="1">
        <f t="array" ref="X466:AR466">XLOOKUP(MID(A466, SEARCH("+++", A466) + 3, LEN(A466)),'Defensive Data'!$A$2:$A$134,'Defensive Data'!$D$2:$X$134)</f>
        <v>17.6</v>
      </c>
      <c r="Y466" s="1">
        <v>29.8</v>
      </c>
      <c r="Z466" s="1">
        <v>59.1</v>
      </c>
      <c r="AA466" s="1">
        <v>179.6</v>
      </c>
      <c r="AB466" s="1">
        <v>0.8</v>
      </c>
      <c r="AC466" s="1">
        <v>41.0</v>
      </c>
      <c r="AD466" s="1">
        <v>191.3</v>
      </c>
      <c r="AE466" s="1">
        <v>4.7</v>
      </c>
      <c r="AF466" s="1">
        <v>2.3</v>
      </c>
      <c r="AG466" s="1">
        <v>70.8</v>
      </c>
      <c r="AH466" s="1">
        <v>370.9</v>
      </c>
      <c r="AI466" s="1">
        <v>5.2</v>
      </c>
      <c r="AJ466" s="1">
        <v>8.0</v>
      </c>
      <c r="AK466" s="1">
        <v>10.3</v>
      </c>
      <c r="AL466" s="1">
        <v>1.4</v>
      </c>
      <c r="AM466" s="1">
        <v>19.7</v>
      </c>
      <c r="AN466" s="1">
        <v>6.6</v>
      </c>
      <c r="AO466" s="1">
        <v>54.8</v>
      </c>
      <c r="AP466" s="1">
        <v>0.4</v>
      </c>
      <c r="AQ466" s="1">
        <v>0.9</v>
      </c>
      <c r="AR466" s="1">
        <v>1.3</v>
      </c>
    </row>
    <row r="467" ht="15.75" customHeight="1">
      <c r="A467" s="1" t="str">
        <f>CONCATENATE(Scores!A467,"+++",Scores!C467)</f>
        <v>Western Kentucky+++Sam Houston</v>
      </c>
      <c r="B467" s="1">
        <f>Scores!B467</f>
        <v>31</v>
      </c>
      <c r="C467" s="1">
        <f t="array" ref="C467:W467">XLOOKUP(LEFT(A467,SEARCH("+",A467)-1),'Offensive Data'!$A$2:$A$134,'Offensive Data'!$D$2:$X$134)</f>
        <v>22.1</v>
      </c>
      <c r="D467" s="1">
        <v>33.6</v>
      </c>
      <c r="E467" s="1">
        <v>65.7</v>
      </c>
      <c r="F467" s="1">
        <v>264.6</v>
      </c>
      <c r="G467" s="1">
        <v>2.0</v>
      </c>
      <c r="H467" s="1">
        <v>31.4</v>
      </c>
      <c r="I467" s="1">
        <v>108.9</v>
      </c>
      <c r="J467" s="1">
        <v>3.5</v>
      </c>
      <c r="K467" s="1">
        <v>1.0</v>
      </c>
      <c r="L467" s="1">
        <v>65.0</v>
      </c>
      <c r="M467" s="1">
        <v>373.5</v>
      </c>
      <c r="N467" s="1">
        <v>5.7</v>
      </c>
      <c r="O467" s="1">
        <v>11.5</v>
      </c>
      <c r="P467" s="1">
        <v>6.4</v>
      </c>
      <c r="Q467" s="1">
        <v>1.4</v>
      </c>
      <c r="R467" s="1">
        <v>19.3</v>
      </c>
      <c r="S467" s="1">
        <v>4.1</v>
      </c>
      <c r="T467" s="1">
        <v>41.3</v>
      </c>
      <c r="U467" s="1">
        <v>0.9</v>
      </c>
      <c r="V467" s="1">
        <v>0.9</v>
      </c>
      <c r="W467" s="1">
        <v>1.7</v>
      </c>
      <c r="X467" s="1">
        <f t="array" ref="X467:AR467">XLOOKUP(MID(A467, SEARCH("+++", A467) + 3, LEN(A467)),'Defensive Data'!$A$2:$A$134,'Defensive Data'!$D$2:$X$134)</f>
        <v>17.6</v>
      </c>
      <c r="Y467" s="1">
        <v>30.7</v>
      </c>
      <c r="Z467" s="1">
        <v>57.4</v>
      </c>
      <c r="AA467" s="1">
        <v>177.0</v>
      </c>
      <c r="AB467" s="1">
        <v>1.1</v>
      </c>
      <c r="AC467" s="1">
        <v>36.5</v>
      </c>
      <c r="AD467" s="1">
        <v>144.5</v>
      </c>
      <c r="AE467" s="1">
        <v>4.0</v>
      </c>
      <c r="AF467" s="1">
        <v>1.3</v>
      </c>
      <c r="AG467" s="1">
        <v>67.2</v>
      </c>
      <c r="AH467" s="1">
        <v>321.5</v>
      </c>
      <c r="AI467" s="1">
        <v>4.8</v>
      </c>
      <c r="AJ467" s="1">
        <v>8.6</v>
      </c>
      <c r="AK467" s="1">
        <v>8.5</v>
      </c>
      <c r="AL467" s="1">
        <v>1.2</v>
      </c>
      <c r="AM467" s="1">
        <v>18.3</v>
      </c>
      <c r="AN467" s="1">
        <v>6.7</v>
      </c>
      <c r="AO467" s="1">
        <v>55.9</v>
      </c>
      <c r="AP467" s="1">
        <v>0.8</v>
      </c>
      <c r="AQ467" s="1">
        <v>1.2</v>
      </c>
      <c r="AR467" s="1">
        <v>2.1</v>
      </c>
    </row>
    <row r="468" ht="15.75" customHeight="1">
      <c r="A468" s="1" t="str">
        <f>CONCATENATE(Scores!A468,"+++",Scores!C468)</f>
        <v>Marshall+++Georgia State</v>
      </c>
      <c r="B468" s="1">
        <f>Scores!B468</f>
        <v>35</v>
      </c>
      <c r="C468" s="1">
        <f t="array" ref="C468:W468">XLOOKUP(LEFT(A468,SEARCH("+",A468)-1),'Offensive Data'!$A$2:$A$134,'Offensive Data'!$D$2:$X$134)</f>
        <v>14.9</v>
      </c>
      <c r="D468" s="1">
        <v>25.6</v>
      </c>
      <c r="E468" s="1">
        <v>58.3</v>
      </c>
      <c r="F468" s="1">
        <v>181.1</v>
      </c>
      <c r="G468" s="1">
        <v>2.1</v>
      </c>
      <c r="H468" s="1">
        <v>39.2</v>
      </c>
      <c r="I468" s="1">
        <v>201.7</v>
      </c>
      <c r="J468" s="1">
        <v>5.2</v>
      </c>
      <c r="K468" s="1">
        <v>1.6</v>
      </c>
      <c r="L468" s="1">
        <v>64.8</v>
      </c>
      <c r="M468" s="1">
        <v>382.8</v>
      </c>
      <c r="N468" s="1">
        <v>5.9</v>
      </c>
      <c r="O468" s="1">
        <v>7.8</v>
      </c>
      <c r="P468" s="1">
        <v>10.5</v>
      </c>
      <c r="Q468" s="1">
        <v>1.6</v>
      </c>
      <c r="R468" s="1">
        <v>19.8</v>
      </c>
      <c r="S468" s="1">
        <v>5.4</v>
      </c>
      <c r="T468" s="1">
        <v>43.5</v>
      </c>
      <c r="U468" s="1">
        <v>0.5</v>
      </c>
      <c r="V468" s="1">
        <v>0.3</v>
      </c>
      <c r="W468" s="1">
        <v>0.8</v>
      </c>
      <c r="X468" s="1">
        <f t="array" ref="X468:AR468">XLOOKUP(MID(A468, SEARCH("+++", A468) + 3, LEN(A468)),'Defensive Data'!$A$2:$A$134,'Defensive Data'!$D$2:$X$134)</f>
        <v>17</v>
      </c>
      <c r="Y468" s="1">
        <v>26.9</v>
      </c>
      <c r="Z468" s="1">
        <v>63.2</v>
      </c>
      <c r="AA468" s="1">
        <v>208.3</v>
      </c>
      <c r="AB468" s="1">
        <v>1.8</v>
      </c>
      <c r="AC468" s="1">
        <v>40.3</v>
      </c>
      <c r="AD468" s="1">
        <v>210.3</v>
      </c>
      <c r="AE468" s="1">
        <v>5.2</v>
      </c>
      <c r="AF468" s="1">
        <v>2.3</v>
      </c>
      <c r="AG468" s="1">
        <v>67.2</v>
      </c>
      <c r="AH468" s="1">
        <v>418.7</v>
      </c>
      <c r="AI468" s="1">
        <v>6.2</v>
      </c>
      <c r="AJ468" s="1">
        <v>9.8</v>
      </c>
      <c r="AK468" s="1">
        <v>10.8</v>
      </c>
      <c r="AL468" s="1">
        <v>1.5</v>
      </c>
      <c r="AM468" s="1">
        <v>22.1</v>
      </c>
      <c r="AN468" s="1">
        <v>6.6</v>
      </c>
      <c r="AO468" s="1">
        <v>58.3</v>
      </c>
      <c r="AP468" s="1">
        <v>0.7</v>
      </c>
      <c r="AQ468" s="1">
        <v>0.8</v>
      </c>
      <c r="AR468" s="1">
        <v>1.4</v>
      </c>
    </row>
    <row r="469" ht="15.75" customHeight="1">
      <c r="A469" s="1" t="str">
        <f>CONCATENATE(Scores!A469,"+++",Scores!C469)</f>
        <v>Virginia Tech+++Boston College</v>
      </c>
      <c r="B469" s="1">
        <f>Scores!B469</f>
        <v>42</v>
      </c>
      <c r="C469" s="1">
        <f t="array" ref="C469:W469">XLOOKUP(LEFT(A469,SEARCH("+",A469)-1),'Offensive Data'!$A$2:$A$134,'Offensive Data'!$D$2:$X$134)</f>
        <v>15.4</v>
      </c>
      <c r="D469" s="1">
        <v>26.1</v>
      </c>
      <c r="E469" s="1">
        <v>59.0</v>
      </c>
      <c r="F469" s="1">
        <v>189.4</v>
      </c>
      <c r="G469" s="1">
        <v>1.2</v>
      </c>
      <c r="H469" s="1">
        <v>37.8</v>
      </c>
      <c r="I469" s="1">
        <v>178.4</v>
      </c>
      <c r="J469" s="1">
        <v>4.7</v>
      </c>
      <c r="K469" s="1">
        <v>2.2</v>
      </c>
      <c r="L469" s="1">
        <v>63.9</v>
      </c>
      <c r="M469" s="1">
        <v>367.8</v>
      </c>
      <c r="N469" s="1">
        <v>5.8</v>
      </c>
      <c r="O469" s="1">
        <v>7.8</v>
      </c>
      <c r="P469" s="1">
        <v>8.8</v>
      </c>
      <c r="Q469" s="1">
        <v>1.9</v>
      </c>
      <c r="R469" s="1">
        <v>18.5</v>
      </c>
      <c r="S469" s="1">
        <v>5.7</v>
      </c>
      <c r="T469" s="1">
        <v>48.8</v>
      </c>
      <c r="U469" s="1">
        <v>0.6</v>
      </c>
      <c r="V469" s="1">
        <v>0.7</v>
      </c>
      <c r="W469" s="1">
        <v>1.3</v>
      </c>
      <c r="X469" s="1">
        <f t="array" ref="X469:AR469">XLOOKUP(MID(A469, SEARCH("+++", A469) + 3, LEN(A469)),'Defensive Data'!$A$2:$A$134,'Defensive Data'!$D$2:$X$134)</f>
        <v>20.8</v>
      </c>
      <c r="Y469" s="1">
        <v>33.9</v>
      </c>
      <c r="Z469" s="1">
        <v>61.5</v>
      </c>
      <c r="AA469" s="1">
        <v>245.8</v>
      </c>
      <c r="AB469" s="1">
        <v>1.3</v>
      </c>
      <c r="AC469" s="1">
        <v>31.8</v>
      </c>
      <c r="AD469" s="1">
        <v>114.9</v>
      </c>
      <c r="AE469" s="1">
        <v>3.6</v>
      </c>
      <c r="AF469" s="1">
        <v>1.2</v>
      </c>
      <c r="AG469" s="1">
        <v>65.7</v>
      </c>
      <c r="AH469" s="1">
        <v>360.7</v>
      </c>
      <c r="AI469" s="1">
        <v>5.5</v>
      </c>
      <c r="AJ469" s="1">
        <v>11.8</v>
      </c>
      <c r="AK469" s="1">
        <v>6.6</v>
      </c>
      <c r="AL469" s="1">
        <v>1.5</v>
      </c>
      <c r="AM469" s="1">
        <v>19.9</v>
      </c>
      <c r="AN469" s="1">
        <v>6.4</v>
      </c>
      <c r="AO469" s="1">
        <v>55.8</v>
      </c>
      <c r="AP469" s="1">
        <v>0.6</v>
      </c>
      <c r="AQ469" s="1">
        <v>1.3</v>
      </c>
      <c r="AR469" s="1">
        <v>1.9</v>
      </c>
    </row>
    <row r="470" ht="15.75" customHeight="1">
      <c r="A470" s="1" t="str">
        <f>CONCATENATE(Scores!A470,"+++",Scores!C470)</f>
        <v> Brigham Young+++Oklahoma State</v>
      </c>
      <c r="B470" s="1">
        <f>Scores!B470</f>
        <v>38</v>
      </c>
      <c r="C470" s="1" t="str">
        <f t="array" ref="C470">XLOOKUP(LEFT(A470,SEARCH("+",A470)-1),'Offensive Data'!$A$2:$A$134,'Offensive Data'!$D$2:$X$134)</f>
        <v>#N/A</v>
      </c>
      <c r="X470" s="1">
        <f t="array" ref="X470:AR470">XLOOKUP(MID(A470, SEARCH("+++", A470) + 3, LEN(A470)),'Defensive Data'!$A$2:$A$134,'Defensive Data'!$D$2:$X$134)</f>
        <v>21.2</v>
      </c>
      <c r="Y470" s="1">
        <v>33.8</v>
      </c>
      <c r="Z470" s="1">
        <v>62.7</v>
      </c>
      <c r="AA470" s="1">
        <v>285.6</v>
      </c>
      <c r="AB470" s="1">
        <v>2.2</v>
      </c>
      <c r="AC470" s="1">
        <v>39.8</v>
      </c>
      <c r="AD470" s="1">
        <v>215.0</v>
      </c>
      <c r="AE470" s="1">
        <v>5.4</v>
      </c>
      <c r="AF470" s="1">
        <v>2.3</v>
      </c>
      <c r="AG470" s="1">
        <v>73.5</v>
      </c>
      <c r="AH470" s="1">
        <v>500.6</v>
      </c>
      <c r="AI470" s="1">
        <v>6.8</v>
      </c>
      <c r="AJ470" s="1">
        <v>12.4</v>
      </c>
      <c r="AK470" s="1">
        <v>11.3</v>
      </c>
      <c r="AL470" s="1">
        <v>1.3</v>
      </c>
      <c r="AM470" s="1">
        <v>25.0</v>
      </c>
      <c r="AN470" s="1">
        <v>5.3</v>
      </c>
      <c r="AO470" s="1">
        <v>48.9</v>
      </c>
      <c r="AP470" s="1">
        <v>0.3</v>
      </c>
      <c r="AQ470" s="1">
        <v>1.0</v>
      </c>
      <c r="AR470" s="1">
        <v>1.3</v>
      </c>
    </row>
    <row r="471" ht="15.75" customHeight="1">
      <c r="A471" s="1" t="str">
        <f>CONCATENATE(Scores!A471,"+++",Scores!C471)</f>
        <v>Duke+++Florida State</v>
      </c>
      <c r="B471" s="1">
        <f>Scores!B471</f>
        <v>23</v>
      </c>
      <c r="C471" s="1">
        <f t="array" ref="C471:W471">XLOOKUP(LEFT(A471,SEARCH("+",A471)-1),'Offensive Data'!$A$2:$A$134,'Offensive Data'!$D$2:$X$134)</f>
        <v>21.5</v>
      </c>
      <c r="D471" s="1">
        <v>35.9</v>
      </c>
      <c r="E471" s="1">
        <v>60.0</v>
      </c>
      <c r="F471" s="1">
        <v>244.3</v>
      </c>
      <c r="G471" s="1">
        <v>2.2</v>
      </c>
      <c r="H471" s="1">
        <v>29.3</v>
      </c>
      <c r="I471" s="1">
        <v>92.5</v>
      </c>
      <c r="J471" s="1">
        <v>3.2</v>
      </c>
      <c r="K471" s="1">
        <v>1.0</v>
      </c>
      <c r="L471" s="1">
        <v>65.2</v>
      </c>
      <c r="M471" s="1">
        <v>336.8</v>
      </c>
      <c r="N471" s="1">
        <v>5.2</v>
      </c>
      <c r="O471" s="1">
        <v>10.8</v>
      </c>
      <c r="P471" s="1">
        <v>4.6</v>
      </c>
      <c r="Q471" s="1">
        <v>2.2</v>
      </c>
      <c r="R471" s="1">
        <v>17.6</v>
      </c>
      <c r="S471" s="1">
        <v>5.2</v>
      </c>
      <c r="T471" s="1">
        <v>50.1</v>
      </c>
      <c r="U471" s="1">
        <v>0.5</v>
      </c>
      <c r="V471" s="1">
        <v>1.0</v>
      </c>
      <c r="W471" s="1">
        <v>1.5</v>
      </c>
      <c r="X471" s="1">
        <f t="array" ref="X471:AR471">XLOOKUP(MID(A471, SEARCH("+++", A471) + 3, LEN(A471)),'Defensive Data'!$A$2:$A$134,'Defensive Data'!$D$2:$X$134)</f>
        <v>17</v>
      </c>
      <c r="Y471" s="1">
        <v>27.2</v>
      </c>
      <c r="Z471" s="1">
        <v>62.6</v>
      </c>
      <c r="AA471" s="1">
        <v>201.3</v>
      </c>
      <c r="AB471" s="1">
        <v>1.3</v>
      </c>
      <c r="AC471" s="1">
        <v>39.8</v>
      </c>
      <c r="AD471" s="1">
        <v>184.7</v>
      </c>
      <c r="AE471" s="1">
        <v>4.6</v>
      </c>
      <c r="AF471" s="1">
        <v>1.8</v>
      </c>
      <c r="AG471" s="1">
        <v>66.9</v>
      </c>
      <c r="AH471" s="1">
        <v>385.9</v>
      </c>
      <c r="AI471" s="1">
        <v>5.8</v>
      </c>
      <c r="AJ471" s="1">
        <v>9.2</v>
      </c>
      <c r="AK471" s="1">
        <v>9.7</v>
      </c>
      <c r="AL471" s="1">
        <v>2.1</v>
      </c>
      <c r="AM471" s="1">
        <v>20.9</v>
      </c>
      <c r="AN471" s="1">
        <v>4.8</v>
      </c>
      <c r="AO471" s="1">
        <v>43.8</v>
      </c>
      <c r="AP471" s="1">
        <v>0.2</v>
      </c>
      <c r="AQ471" s="1">
        <v>0.3</v>
      </c>
      <c r="AR471" s="1">
        <v>0.5</v>
      </c>
    </row>
    <row r="472" ht="15.75" customHeight="1">
      <c r="A472" s="1" t="str">
        <f>CONCATENATE(Scores!A472,"+++",Scores!C472)</f>
        <v>Fresno State+++Nevada</v>
      </c>
      <c r="B472" s="1">
        <f>Scores!B472</f>
        <v>24</v>
      </c>
      <c r="C472" s="1">
        <f t="array" ref="C472:W472">XLOOKUP(LEFT(A472,SEARCH("+",A472)-1),'Offensive Data'!$A$2:$A$134,'Offensive Data'!$D$2:$X$134)</f>
        <v>23.1</v>
      </c>
      <c r="D472" s="1">
        <v>33.2</v>
      </c>
      <c r="E472" s="1">
        <v>69.4</v>
      </c>
      <c r="F472" s="1">
        <v>242.5</v>
      </c>
      <c r="G472" s="1">
        <v>1.5</v>
      </c>
      <c r="H472" s="1">
        <v>29.5</v>
      </c>
      <c r="I472" s="1">
        <v>98.2</v>
      </c>
      <c r="J472" s="1">
        <v>3.3</v>
      </c>
      <c r="K472" s="1">
        <v>1.6</v>
      </c>
      <c r="L472" s="1">
        <v>62.7</v>
      </c>
      <c r="M472" s="1">
        <v>340.6</v>
      </c>
      <c r="N472" s="1">
        <v>5.4</v>
      </c>
      <c r="O472" s="1">
        <v>10.8</v>
      </c>
      <c r="P472" s="1">
        <v>5.6</v>
      </c>
      <c r="Q472" s="1">
        <v>2.4</v>
      </c>
      <c r="R472" s="1">
        <v>18.8</v>
      </c>
      <c r="S472" s="1">
        <v>6.2</v>
      </c>
      <c r="T472" s="1">
        <v>54.7</v>
      </c>
      <c r="U472" s="1">
        <v>0.2</v>
      </c>
      <c r="V472" s="1">
        <v>1.1</v>
      </c>
      <c r="W472" s="1">
        <v>1.3</v>
      </c>
      <c r="X472" s="1">
        <f t="array" ref="X472:AR472">XLOOKUP(MID(A472, SEARCH("+++", A472) + 3, LEN(A472)),'Defensive Data'!$A$2:$A$134,'Defensive Data'!$D$2:$X$134)</f>
        <v>16.2</v>
      </c>
      <c r="Y472" s="1">
        <v>26.7</v>
      </c>
      <c r="Z472" s="1">
        <v>60.5</v>
      </c>
      <c r="AA472" s="1">
        <v>198.6</v>
      </c>
      <c r="AB472" s="1">
        <v>1.0</v>
      </c>
      <c r="AC472" s="1">
        <v>38.2</v>
      </c>
      <c r="AD472" s="1">
        <v>192.8</v>
      </c>
      <c r="AE472" s="1">
        <v>5.1</v>
      </c>
      <c r="AF472" s="1">
        <v>2.4</v>
      </c>
      <c r="AG472" s="1">
        <v>64.8</v>
      </c>
      <c r="AH472" s="1">
        <v>391.5</v>
      </c>
      <c r="AI472" s="1">
        <v>6.0</v>
      </c>
      <c r="AJ472" s="1">
        <v>9.7</v>
      </c>
      <c r="AK472" s="1">
        <v>10.4</v>
      </c>
      <c r="AL472" s="1">
        <v>2.8</v>
      </c>
      <c r="AM472" s="1">
        <v>22.8</v>
      </c>
      <c r="AN472" s="1">
        <v>5.4</v>
      </c>
      <c r="AO472" s="1">
        <v>49.2</v>
      </c>
      <c r="AP472" s="1">
        <v>0.2</v>
      </c>
      <c r="AQ472" s="1">
        <v>0.8</v>
      </c>
      <c r="AR472" s="1">
        <v>1.0</v>
      </c>
    </row>
    <row r="473" ht="15.75" customHeight="1">
      <c r="A473" s="1" t="str">
        <f>CONCATENATE(Scores!A473,"+++",Scores!C473)</f>
        <v> Oregon+++Purdue</v>
      </c>
      <c r="B473" s="1">
        <f>Scores!B473</f>
        <v>35</v>
      </c>
      <c r="C473" s="1" t="str">
        <f t="array" ref="C473">XLOOKUP(LEFT(A473,SEARCH("+",A473)-1),'Offensive Data'!$A$2:$A$134,'Offensive Data'!$D$2:$X$134)</f>
        <v>#N/A</v>
      </c>
      <c r="X473" s="1">
        <f t="array" ref="X473:AR473">XLOOKUP(MID(A473, SEARCH("+++", A473) + 3, LEN(A473)),'Defensive Data'!$A$2:$A$134,'Defensive Data'!$D$2:$X$134)</f>
        <v>18.2</v>
      </c>
      <c r="Y473" s="1">
        <v>27.6</v>
      </c>
      <c r="Z473" s="1">
        <v>65.9</v>
      </c>
      <c r="AA473" s="1">
        <v>252.7</v>
      </c>
      <c r="AB473" s="1">
        <v>2.3</v>
      </c>
      <c r="AC473" s="1">
        <v>39.3</v>
      </c>
      <c r="AD473" s="1">
        <v>200.0</v>
      </c>
      <c r="AE473" s="1">
        <v>5.1</v>
      </c>
      <c r="AF473" s="1">
        <v>2.8</v>
      </c>
      <c r="AG473" s="1">
        <v>66.9</v>
      </c>
      <c r="AH473" s="1">
        <v>452.7</v>
      </c>
      <c r="AI473" s="1">
        <v>6.8</v>
      </c>
      <c r="AJ473" s="1">
        <v>11.3</v>
      </c>
      <c r="AK473" s="1">
        <v>11.0</v>
      </c>
      <c r="AL473" s="1">
        <v>1.7</v>
      </c>
      <c r="AM473" s="1">
        <v>24.0</v>
      </c>
      <c r="AN473" s="1">
        <v>5.2</v>
      </c>
      <c r="AO473" s="1">
        <v>47.7</v>
      </c>
      <c r="AP473" s="1">
        <v>0.1</v>
      </c>
      <c r="AQ473" s="1">
        <v>0.3</v>
      </c>
      <c r="AR473" s="1">
        <v>0.4</v>
      </c>
    </row>
    <row r="474" ht="15.75" customHeight="1">
      <c r="A474" s="1" t="str">
        <f>CONCATENATE(Scores!A474,"+++",Scores!C474)</f>
        <v>Arkansas State+++Southern Mississippi</v>
      </c>
      <c r="B474" s="1">
        <f>Scores!B474</f>
        <v>44</v>
      </c>
      <c r="C474" s="1">
        <f t="array" ref="C474:W474">XLOOKUP(LEFT(A474,SEARCH("+",A474)-1),'Offensive Data'!$A$2:$A$134,'Offensive Data'!$D$2:$X$134)</f>
        <v>21.1</v>
      </c>
      <c r="D474" s="1">
        <v>34.0</v>
      </c>
      <c r="E474" s="1">
        <v>62.0</v>
      </c>
      <c r="F474" s="1">
        <v>227.5</v>
      </c>
      <c r="G474" s="1">
        <v>1.5</v>
      </c>
      <c r="H474" s="1">
        <v>37.5</v>
      </c>
      <c r="I474" s="1">
        <v>156.9</v>
      </c>
      <c r="J474" s="1">
        <v>4.2</v>
      </c>
      <c r="K474" s="1">
        <v>1.4</v>
      </c>
      <c r="L474" s="1">
        <v>71.5</v>
      </c>
      <c r="M474" s="1">
        <v>384.4</v>
      </c>
      <c r="N474" s="1">
        <v>5.4</v>
      </c>
      <c r="O474" s="1">
        <v>11.1</v>
      </c>
      <c r="P474" s="1">
        <v>8.7</v>
      </c>
      <c r="Q474" s="1">
        <v>2.1</v>
      </c>
      <c r="R474" s="1">
        <v>21.8</v>
      </c>
      <c r="S474" s="1">
        <v>5.6</v>
      </c>
      <c r="T474" s="1">
        <v>51.7</v>
      </c>
      <c r="U474" s="1">
        <v>0.6</v>
      </c>
      <c r="V474" s="1">
        <v>0.8</v>
      </c>
      <c r="W474" s="1">
        <v>1.4</v>
      </c>
      <c r="X474" s="1">
        <f t="array" ref="X474:AR474">XLOOKUP(MID(A474, SEARCH("+++", A474) + 3, LEN(A474)),'Defensive Data'!$A$2:$A$134,'Defensive Data'!$D$2:$X$134)</f>
        <v>17.4</v>
      </c>
      <c r="Y474" s="1">
        <v>26.8</v>
      </c>
      <c r="Z474" s="1">
        <v>65.1</v>
      </c>
      <c r="AA474" s="1">
        <v>216.5</v>
      </c>
      <c r="AB474" s="1">
        <v>2.0</v>
      </c>
      <c r="AC474" s="1">
        <v>39.5</v>
      </c>
      <c r="AD474" s="1">
        <v>232.7</v>
      </c>
      <c r="AE474" s="1">
        <v>5.9</v>
      </c>
      <c r="AF474" s="1">
        <v>2.6</v>
      </c>
      <c r="AG474" s="1">
        <v>66.3</v>
      </c>
      <c r="AH474" s="1">
        <v>449.2</v>
      </c>
      <c r="AI474" s="1">
        <v>6.8</v>
      </c>
      <c r="AJ474" s="1">
        <v>9.7</v>
      </c>
      <c r="AK474" s="1">
        <v>10.9</v>
      </c>
      <c r="AL474" s="1">
        <v>1.2</v>
      </c>
      <c r="AM474" s="1">
        <v>21.8</v>
      </c>
      <c r="AN474" s="1">
        <v>6.2</v>
      </c>
      <c r="AO474" s="1">
        <v>54.9</v>
      </c>
      <c r="AP474" s="1">
        <v>0.3</v>
      </c>
      <c r="AQ474" s="1">
        <v>0.5</v>
      </c>
      <c r="AR474" s="1">
        <v>0.8</v>
      </c>
    </row>
    <row r="475" ht="15.75" customHeight="1">
      <c r="A475" s="1" t="str">
        <f>CONCATENATE(Scores!A475,"+++",Scores!C475)</f>
        <v> Army+++East Carolina</v>
      </c>
      <c r="B475" s="1">
        <f>Scores!B475</f>
        <v>45</v>
      </c>
      <c r="C475" s="1" t="str">
        <f t="array" ref="C475">XLOOKUP(LEFT(A475,SEARCH("+",A475)-1),'Offensive Data'!$A$2:$A$134,'Offensive Data'!$D$2:$X$134)</f>
        <v>#N/A</v>
      </c>
      <c r="X475" s="1">
        <f t="array" ref="X475:AR475">XLOOKUP(MID(A475, SEARCH("+++", A475) + 3, LEN(A475)),'Defensive Data'!$A$2:$A$134,'Defensive Data'!$D$2:$X$134)</f>
        <v>19.6</v>
      </c>
      <c r="Y475" s="1">
        <v>32.7</v>
      </c>
      <c r="Z475" s="1">
        <v>60.0</v>
      </c>
      <c r="AA475" s="1">
        <v>235.3</v>
      </c>
      <c r="AB475" s="1">
        <v>1.8</v>
      </c>
      <c r="AC475" s="1">
        <v>41.8</v>
      </c>
      <c r="AD475" s="1">
        <v>169.8</v>
      </c>
      <c r="AE475" s="1">
        <v>4.1</v>
      </c>
      <c r="AF475" s="1">
        <v>1.6</v>
      </c>
      <c r="AG475" s="1">
        <v>74.5</v>
      </c>
      <c r="AH475" s="1">
        <v>405.2</v>
      </c>
      <c r="AI475" s="1">
        <v>5.4</v>
      </c>
      <c r="AJ475" s="1">
        <v>10.4</v>
      </c>
      <c r="AK475" s="1">
        <v>8.6</v>
      </c>
      <c r="AL475" s="1">
        <v>2.2</v>
      </c>
      <c r="AM475" s="1">
        <v>21.2</v>
      </c>
      <c r="AN475" s="1">
        <v>6.9</v>
      </c>
      <c r="AO475" s="1">
        <v>60.8</v>
      </c>
      <c r="AP475" s="1">
        <v>0.6</v>
      </c>
      <c r="AQ475" s="1">
        <v>1.1</v>
      </c>
      <c r="AR475" s="1">
        <v>1.7</v>
      </c>
    </row>
    <row r="476" ht="15.75" customHeight="1">
      <c r="A476" s="1" t="str">
        <f>CONCATENATE(Scores!A476,"+++",Scores!C476)</f>
        <v>Baylor+++Texas Tech</v>
      </c>
      <c r="B476" s="1">
        <f>Scores!B476</f>
        <v>59</v>
      </c>
      <c r="C476" s="1">
        <f t="array" ref="C476:W476">XLOOKUP(LEFT(A476,SEARCH("+",A476)-1),'Offensive Data'!$A$2:$A$134,'Offensive Data'!$D$2:$X$134)</f>
        <v>19.5</v>
      </c>
      <c r="D476" s="1">
        <v>31.8</v>
      </c>
      <c r="E476" s="1">
        <v>61.3</v>
      </c>
      <c r="F476" s="1">
        <v>261.3</v>
      </c>
      <c r="G476" s="1">
        <v>2.4</v>
      </c>
      <c r="H476" s="1">
        <v>37.8</v>
      </c>
      <c r="I476" s="1">
        <v>178.8</v>
      </c>
      <c r="J476" s="1">
        <v>4.7</v>
      </c>
      <c r="K476" s="1">
        <v>1.9</v>
      </c>
      <c r="L476" s="1">
        <v>69.5</v>
      </c>
      <c r="M476" s="1">
        <v>440.1</v>
      </c>
      <c r="N476" s="1">
        <v>6.3</v>
      </c>
      <c r="O476" s="1">
        <v>12.1</v>
      </c>
      <c r="P476" s="1">
        <v>9.1</v>
      </c>
      <c r="Q476" s="1">
        <v>1.8</v>
      </c>
      <c r="R476" s="1">
        <v>23.0</v>
      </c>
      <c r="S476" s="1">
        <v>6.2</v>
      </c>
      <c r="T476" s="1">
        <v>60.4</v>
      </c>
      <c r="U476" s="1">
        <v>0.4</v>
      </c>
      <c r="V476" s="1">
        <v>0.8</v>
      </c>
      <c r="W476" s="1">
        <v>1.2</v>
      </c>
      <c r="X476" s="1">
        <f t="array" ref="X476:AR476">XLOOKUP(MID(A476, SEARCH("+++", A476) + 3, LEN(A476)),'Defensive Data'!$A$2:$A$134,'Defensive Data'!$D$2:$X$134)</f>
        <v>23.4</v>
      </c>
      <c r="Y476" s="1">
        <v>36.5</v>
      </c>
      <c r="Z476" s="1">
        <v>64.0</v>
      </c>
      <c r="AA476" s="1">
        <v>308.1</v>
      </c>
      <c r="AB476" s="1">
        <v>2.2</v>
      </c>
      <c r="AC476" s="1">
        <v>34.1</v>
      </c>
      <c r="AD476" s="1">
        <v>152.1</v>
      </c>
      <c r="AE476" s="1">
        <v>4.5</v>
      </c>
      <c r="AF476" s="1">
        <v>2.2</v>
      </c>
      <c r="AG476" s="1">
        <v>70.6</v>
      </c>
      <c r="AH476" s="1">
        <v>460.2</v>
      </c>
      <c r="AI476" s="1">
        <v>6.5</v>
      </c>
      <c r="AJ476" s="1">
        <v>13.5</v>
      </c>
      <c r="AK476" s="1">
        <v>7.6</v>
      </c>
      <c r="AL476" s="1">
        <v>2.1</v>
      </c>
      <c r="AM476" s="1">
        <v>23.2</v>
      </c>
      <c r="AN476" s="1">
        <v>6.5</v>
      </c>
      <c r="AO476" s="1">
        <v>54.3</v>
      </c>
      <c r="AP476" s="1">
        <v>0.6</v>
      </c>
      <c r="AQ476" s="1">
        <v>1.1</v>
      </c>
      <c r="AR476" s="1">
        <v>1.7</v>
      </c>
    </row>
    <row r="477" ht="15.75" customHeight="1">
      <c r="A477" s="1" t="str">
        <f>CONCATENATE(Scores!A477,"+++",Scores!C477)</f>
        <v>Bowling Green+++Kent State</v>
      </c>
      <c r="B477" s="1">
        <f>Scores!B477</f>
        <v>27</v>
      </c>
      <c r="C477" s="1" t="str">
        <f t="array" ref="C477">XLOOKUP(LEFT(A477,SEARCH("+",A477)-1),'Offensive Data'!$A$2:$A$134,'Offensive Data'!$D$2:$X$134)</f>
        <v>#N/A</v>
      </c>
      <c r="X477" s="1" t="str">
        <f t="array" ref="X477">XLOOKUP(MID(A477, SEARCH("+++", A477) + 3, LEN(A477)),'Defensive Data'!$A$2:$A$134,'Defensive Data'!$D$2:$X$134)</f>
        <v>#N/A</v>
      </c>
    </row>
    <row r="478" ht="15.75" customHeight="1">
      <c r="A478" s="1" t="str">
        <f>CONCATENATE(Scores!A478,"+++",Scores!C478)</f>
        <v>Cincinnati+++Arizona State</v>
      </c>
      <c r="B478" s="1">
        <f>Scores!B478</f>
        <v>24</v>
      </c>
      <c r="C478" s="1">
        <f t="array" ref="C478:W478">XLOOKUP(LEFT(A478,SEARCH("+",A478)-1),'Offensive Data'!$A$2:$A$134,'Offensive Data'!$D$2:$X$134)</f>
        <v>21</v>
      </c>
      <c r="D478" s="1">
        <v>32.9</v>
      </c>
      <c r="E478" s="1">
        <v>63.8</v>
      </c>
      <c r="F478" s="1">
        <v>236.5</v>
      </c>
      <c r="G478" s="1">
        <v>1.5</v>
      </c>
      <c r="H478" s="1">
        <v>35.6</v>
      </c>
      <c r="I478" s="1">
        <v>184.1</v>
      </c>
      <c r="J478" s="1">
        <v>5.2</v>
      </c>
      <c r="K478" s="1">
        <v>1.6</v>
      </c>
      <c r="L478" s="1">
        <v>68.5</v>
      </c>
      <c r="M478" s="1">
        <v>420.6</v>
      </c>
      <c r="N478" s="1">
        <v>6.1</v>
      </c>
      <c r="O478" s="1">
        <v>11.7</v>
      </c>
      <c r="P478" s="1">
        <v>9.0</v>
      </c>
      <c r="Q478" s="1">
        <v>1.4</v>
      </c>
      <c r="R478" s="1">
        <v>22.1</v>
      </c>
      <c r="S478" s="1">
        <v>5.3</v>
      </c>
      <c r="T478" s="1">
        <v>44.4</v>
      </c>
      <c r="U478" s="1">
        <v>0.9</v>
      </c>
      <c r="V478" s="1">
        <v>0.6</v>
      </c>
      <c r="W478" s="1">
        <v>1.5</v>
      </c>
      <c r="X478" s="1">
        <f t="array" ref="X478:AR478">XLOOKUP(MID(A478, SEARCH("+++", A478) + 3, LEN(A478)),'Defensive Data'!$A$2:$A$134,'Defensive Data'!$D$2:$X$134)</f>
        <v>20.2</v>
      </c>
      <c r="Y478" s="1">
        <v>34.2</v>
      </c>
      <c r="Z478" s="1">
        <v>59.1</v>
      </c>
      <c r="AA478" s="1">
        <v>226.7</v>
      </c>
      <c r="AB478" s="1">
        <v>1.4</v>
      </c>
      <c r="AC478" s="1">
        <v>30.7</v>
      </c>
      <c r="AD478" s="1">
        <v>112.9</v>
      </c>
      <c r="AE478" s="1">
        <v>3.7</v>
      </c>
      <c r="AF478" s="1">
        <v>1.4</v>
      </c>
      <c r="AG478" s="1">
        <v>64.9</v>
      </c>
      <c r="AH478" s="1">
        <v>339.6</v>
      </c>
      <c r="AI478" s="1">
        <v>5.2</v>
      </c>
      <c r="AJ478" s="1">
        <v>11.6</v>
      </c>
      <c r="AK478" s="1">
        <v>6.8</v>
      </c>
      <c r="AL478" s="1">
        <v>1.9</v>
      </c>
      <c r="AM478" s="1">
        <v>20.3</v>
      </c>
      <c r="AN478" s="1">
        <v>5.4</v>
      </c>
      <c r="AO478" s="1">
        <v>48.4</v>
      </c>
      <c r="AP478" s="1">
        <v>0.5</v>
      </c>
      <c r="AQ478" s="1">
        <v>1.1</v>
      </c>
      <c r="AR478" s="1">
        <v>1.6</v>
      </c>
    </row>
    <row r="479" ht="15.75" customHeight="1">
      <c r="A479" s="1" t="str">
        <f>CONCATENATE(Scores!A479,"+++",Scores!C479)</f>
        <v> Clemson+++Virginia</v>
      </c>
      <c r="B479" s="1">
        <f>Scores!B479</f>
        <v>48</v>
      </c>
      <c r="C479" s="1" t="str">
        <f t="array" ref="C479">XLOOKUP(LEFT(A479,SEARCH("+",A479)-1),'Offensive Data'!$A$2:$A$134,'Offensive Data'!$D$2:$X$134)</f>
        <v>#N/A</v>
      </c>
      <c r="X479" s="1">
        <f t="array" ref="X479:AR479">XLOOKUP(MID(A479, SEARCH("+++", A479) + 3, LEN(A479)),'Defensive Data'!$A$2:$A$134,'Defensive Data'!$D$2:$X$134)</f>
        <v>20.3</v>
      </c>
      <c r="Y479" s="1">
        <v>32.7</v>
      </c>
      <c r="Z479" s="1">
        <v>62.0</v>
      </c>
      <c r="AA479" s="1">
        <v>263.1</v>
      </c>
      <c r="AB479" s="1">
        <v>1.7</v>
      </c>
      <c r="AC479" s="1">
        <v>35.2</v>
      </c>
      <c r="AD479" s="1">
        <v>145.3</v>
      </c>
      <c r="AE479" s="1">
        <v>4.1</v>
      </c>
      <c r="AF479" s="1">
        <v>1.7</v>
      </c>
      <c r="AG479" s="1">
        <v>67.8</v>
      </c>
      <c r="AH479" s="1">
        <v>408.3</v>
      </c>
      <c r="AI479" s="1">
        <v>6.0</v>
      </c>
      <c r="AJ479" s="1">
        <v>10.3</v>
      </c>
      <c r="AK479" s="1">
        <v>8.2</v>
      </c>
      <c r="AL479" s="1">
        <v>1.4</v>
      </c>
      <c r="AM479" s="1">
        <v>19.8</v>
      </c>
      <c r="AN479" s="1">
        <v>7.1</v>
      </c>
      <c r="AO479" s="1">
        <v>60.8</v>
      </c>
      <c r="AP479" s="1">
        <v>0.5</v>
      </c>
      <c r="AQ479" s="1">
        <v>0.8</v>
      </c>
      <c r="AR479" s="1">
        <v>1.3</v>
      </c>
    </row>
    <row r="480" ht="15.75" customHeight="1">
      <c r="A480" s="1" t="str">
        <f>CONCATENATE(Scores!A480,"+++",Scores!C480)</f>
        <v>Colorado+++Arizona</v>
      </c>
      <c r="B480" s="1">
        <f>Scores!B480</f>
        <v>34</v>
      </c>
      <c r="C480" s="1">
        <f t="array" ref="C480:W480">XLOOKUP(LEFT(A480,SEARCH("+",A480)-1),'Offensive Data'!$A$2:$A$134,'Offensive Data'!$D$2:$X$134)</f>
        <v>27.2</v>
      </c>
      <c r="D480" s="1">
        <v>37.1</v>
      </c>
      <c r="E480" s="1">
        <v>73.2</v>
      </c>
      <c r="F480" s="1">
        <v>318.0</v>
      </c>
      <c r="G480" s="1">
        <v>2.8</v>
      </c>
      <c r="H480" s="1">
        <v>26.2</v>
      </c>
      <c r="I480" s="1">
        <v>65.2</v>
      </c>
      <c r="J480" s="1">
        <v>2.5</v>
      </c>
      <c r="K480" s="1">
        <v>1.2</v>
      </c>
      <c r="L480" s="1">
        <v>63.3</v>
      </c>
      <c r="M480" s="1">
        <v>383.2</v>
      </c>
      <c r="N480" s="1">
        <v>6.1</v>
      </c>
      <c r="O480" s="1">
        <v>13.2</v>
      </c>
      <c r="P480" s="1">
        <v>4.8</v>
      </c>
      <c r="Q480" s="1">
        <v>2.4</v>
      </c>
      <c r="R480" s="1">
        <v>20.4</v>
      </c>
      <c r="S480" s="1">
        <v>7.7</v>
      </c>
      <c r="T480" s="1">
        <v>67.8</v>
      </c>
      <c r="U480" s="1">
        <v>0.4</v>
      </c>
      <c r="V480" s="1">
        <v>0.8</v>
      </c>
      <c r="W480" s="1">
        <v>1.2</v>
      </c>
      <c r="X480" s="1">
        <f t="array" ref="X480:AR480">XLOOKUP(MID(A480, SEARCH("+++", A480) + 3, LEN(A480)),'Defensive Data'!$A$2:$A$134,'Defensive Data'!$D$2:$X$134)</f>
        <v>18.8</v>
      </c>
      <c r="Y480" s="1">
        <v>29.6</v>
      </c>
      <c r="Z480" s="1">
        <v>63.7</v>
      </c>
      <c r="AA480" s="1">
        <v>239.0</v>
      </c>
      <c r="AB480" s="1">
        <v>1.8</v>
      </c>
      <c r="AC480" s="1">
        <v>35.8</v>
      </c>
      <c r="AD480" s="1">
        <v>174.0</v>
      </c>
      <c r="AE480" s="1">
        <v>4.9</v>
      </c>
      <c r="AF480" s="1">
        <v>2.1</v>
      </c>
      <c r="AG480" s="1">
        <v>65.4</v>
      </c>
      <c r="AH480" s="1">
        <v>413.0</v>
      </c>
      <c r="AI480" s="1">
        <v>6.3</v>
      </c>
      <c r="AJ480" s="1">
        <v>9.8</v>
      </c>
      <c r="AK480" s="1">
        <v>9.4</v>
      </c>
      <c r="AL480" s="1">
        <v>1.8</v>
      </c>
      <c r="AM480" s="1">
        <v>21.0</v>
      </c>
      <c r="AN480" s="1">
        <v>5.0</v>
      </c>
      <c r="AO480" s="1">
        <v>44.5</v>
      </c>
      <c r="AP480" s="1">
        <v>0.7</v>
      </c>
      <c r="AQ480" s="1">
        <v>0.7</v>
      </c>
      <c r="AR480" s="1">
        <v>1.3</v>
      </c>
    </row>
    <row r="481" ht="15.75" customHeight="1">
      <c r="A481" s="1" t="str">
        <f>CONCATENATE(Scores!A481,"+++",Scores!C481)</f>
        <v>Colorado State+++Air Force</v>
      </c>
      <c r="B481" s="1">
        <f>Scores!B481</f>
        <v>21</v>
      </c>
      <c r="C481" s="1">
        <f t="array" ref="C481:W481">XLOOKUP(LEFT(A481,SEARCH("+",A481)-1),'Offensive Data'!$A$2:$A$134,'Offensive Data'!$D$2:$X$134)</f>
        <v>18.2</v>
      </c>
      <c r="D481" s="1">
        <v>30.0</v>
      </c>
      <c r="E481" s="1">
        <v>60.5</v>
      </c>
      <c r="F481" s="1">
        <v>219.5</v>
      </c>
      <c r="G481" s="1">
        <v>1.2</v>
      </c>
      <c r="H481" s="1">
        <v>35.6</v>
      </c>
      <c r="I481" s="1">
        <v>168.2</v>
      </c>
      <c r="J481" s="1">
        <v>4.7</v>
      </c>
      <c r="K481" s="1">
        <v>1.5</v>
      </c>
      <c r="L481" s="1">
        <v>65.6</v>
      </c>
      <c r="M481" s="1">
        <v>387.6</v>
      </c>
      <c r="N481" s="1">
        <v>5.9</v>
      </c>
      <c r="O481" s="1">
        <v>8.7</v>
      </c>
      <c r="P481" s="1">
        <v>7.9</v>
      </c>
      <c r="Q481" s="1">
        <v>1.3</v>
      </c>
      <c r="R481" s="1">
        <v>17.9</v>
      </c>
      <c r="S481" s="1">
        <v>6.5</v>
      </c>
      <c r="T481" s="1">
        <v>51.5</v>
      </c>
      <c r="U481" s="1">
        <v>0.8</v>
      </c>
      <c r="V481" s="1">
        <v>0.8</v>
      </c>
      <c r="W481" s="1">
        <v>1.5</v>
      </c>
      <c r="X481" s="1">
        <f t="array" ref="X481:AR481">XLOOKUP(MID(A481, SEARCH("+++", A481) + 3, LEN(A481)),'Defensive Data'!$A$2:$A$134,'Defensive Data'!$D$2:$X$134)</f>
        <v>15.6</v>
      </c>
      <c r="Y481" s="1">
        <v>24.1</v>
      </c>
      <c r="Z481" s="1">
        <v>64.7</v>
      </c>
      <c r="AA481" s="1">
        <v>188.5</v>
      </c>
      <c r="AB481" s="1">
        <v>1.0</v>
      </c>
      <c r="AC481" s="1">
        <v>33.6</v>
      </c>
      <c r="AD481" s="1">
        <v>153.4</v>
      </c>
      <c r="AE481" s="1">
        <v>4.6</v>
      </c>
      <c r="AF481" s="1">
        <v>1.9</v>
      </c>
      <c r="AG481" s="1">
        <v>57.7</v>
      </c>
      <c r="AH481" s="1">
        <v>341.9</v>
      </c>
      <c r="AI481" s="1">
        <v>5.9</v>
      </c>
      <c r="AJ481" s="1">
        <v>8.5</v>
      </c>
      <c r="AK481" s="1">
        <v>7.4</v>
      </c>
      <c r="AL481" s="1">
        <v>1.1</v>
      </c>
      <c r="AM481" s="1">
        <v>17.0</v>
      </c>
      <c r="AN481" s="1">
        <v>5.3</v>
      </c>
      <c r="AO481" s="1">
        <v>48.4</v>
      </c>
      <c r="AP481" s="1">
        <v>0.7</v>
      </c>
      <c r="AQ481" s="1">
        <v>0.3</v>
      </c>
      <c r="AR481" s="1">
        <v>1.0</v>
      </c>
    </row>
    <row r="482" ht="15.75" customHeight="1">
      <c r="A482" s="1" t="str">
        <f>CONCATENATE(Scores!A482,"+++",Scores!C482)</f>
        <v>Eastern Michigan+++Central Michigan</v>
      </c>
      <c r="B482" s="1">
        <f>Scores!B482</f>
        <v>38</v>
      </c>
      <c r="C482" s="1">
        <f t="array" ref="C482:W482">XLOOKUP(LEFT(A482,SEARCH("+",A482)-1),'Offensive Data'!$A$2:$A$134,'Offensive Data'!$D$2:$X$134)</f>
        <v>20.8</v>
      </c>
      <c r="D482" s="1">
        <v>34.7</v>
      </c>
      <c r="E482" s="1">
        <v>59.9</v>
      </c>
      <c r="F482" s="1">
        <v>236.0</v>
      </c>
      <c r="G482" s="1">
        <v>1.4</v>
      </c>
      <c r="H482" s="1">
        <v>39.8</v>
      </c>
      <c r="I482" s="1">
        <v>141.8</v>
      </c>
      <c r="J482" s="1">
        <v>3.6</v>
      </c>
      <c r="K482" s="1">
        <v>1.4</v>
      </c>
      <c r="L482" s="1">
        <v>74.4</v>
      </c>
      <c r="M482" s="1">
        <v>377.8</v>
      </c>
      <c r="N482" s="1">
        <v>5.1</v>
      </c>
      <c r="O482" s="1">
        <v>10.8</v>
      </c>
      <c r="P482" s="1">
        <v>8.5</v>
      </c>
      <c r="Q482" s="1">
        <v>2.3</v>
      </c>
      <c r="R482" s="1">
        <v>21.5</v>
      </c>
      <c r="S482" s="1">
        <v>6.4</v>
      </c>
      <c r="T482" s="1">
        <v>62.0</v>
      </c>
      <c r="U482" s="1">
        <v>0.6</v>
      </c>
      <c r="V482" s="1">
        <v>0.8</v>
      </c>
      <c r="W482" s="1">
        <v>1.4</v>
      </c>
      <c r="X482" s="1">
        <f t="array" ref="X482:AR482">XLOOKUP(MID(A482, SEARCH("+++", A482) + 3, LEN(A482)),'Defensive Data'!$A$2:$A$134,'Defensive Data'!$D$2:$X$134)</f>
        <v>16.4</v>
      </c>
      <c r="Y482" s="1">
        <v>27.3</v>
      </c>
      <c r="Z482" s="1">
        <v>60.1</v>
      </c>
      <c r="AA482" s="1">
        <v>193.8</v>
      </c>
      <c r="AB482" s="1">
        <v>1.4</v>
      </c>
      <c r="AC482" s="1">
        <v>37.1</v>
      </c>
      <c r="AD482" s="1">
        <v>169.8</v>
      </c>
      <c r="AE482" s="1">
        <v>4.6</v>
      </c>
      <c r="AF482" s="1">
        <v>1.7</v>
      </c>
      <c r="AG482" s="1">
        <v>64.4</v>
      </c>
      <c r="AH482" s="1">
        <v>363.6</v>
      </c>
      <c r="AI482" s="1">
        <v>5.6</v>
      </c>
      <c r="AJ482" s="1">
        <v>8.8</v>
      </c>
      <c r="AK482" s="1">
        <v>8.3</v>
      </c>
      <c r="AL482" s="1">
        <v>2.1</v>
      </c>
      <c r="AM482" s="1">
        <v>19.1</v>
      </c>
      <c r="AN482" s="1">
        <v>6.4</v>
      </c>
      <c r="AO482" s="1">
        <v>58.8</v>
      </c>
      <c r="AP482" s="1">
        <v>0.3</v>
      </c>
      <c r="AQ482" s="1">
        <v>0.2</v>
      </c>
      <c r="AR482" s="1">
        <v>0.4</v>
      </c>
    </row>
    <row r="483" ht="15.75" customHeight="1">
      <c r="A483" s="1" t="str">
        <f>CONCATENATE(Scores!A483,"+++",Scores!C483)</f>
        <v>Florida+++Kentucky</v>
      </c>
      <c r="B483" s="1">
        <f>Scores!B483</f>
        <v>48</v>
      </c>
      <c r="C483" s="1">
        <f t="array" ref="C483:W483">XLOOKUP(LEFT(A483,SEARCH("+",A483)-1),'Offensive Data'!$A$2:$A$134,'Offensive Data'!$D$2:$X$134)</f>
        <v>16</v>
      </c>
      <c r="D483" s="1">
        <v>26.3</v>
      </c>
      <c r="E483" s="1">
        <v>60.8</v>
      </c>
      <c r="F483" s="1">
        <v>225.7</v>
      </c>
      <c r="G483" s="1">
        <v>1.4</v>
      </c>
      <c r="H483" s="1">
        <v>35.5</v>
      </c>
      <c r="I483" s="1">
        <v>161.2</v>
      </c>
      <c r="J483" s="1">
        <v>4.5</v>
      </c>
      <c r="K483" s="1">
        <v>2.0</v>
      </c>
      <c r="L483" s="1">
        <v>61.8</v>
      </c>
      <c r="M483" s="1">
        <v>386.9</v>
      </c>
      <c r="N483" s="1">
        <v>6.3</v>
      </c>
      <c r="O483" s="1">
        <v>9.2</v>
      </c>
      <c r="P483" s="1">
        <v>8.7</v>
      </c>
      <c r="Q483" s="1">
        <v>1.4</v>
      </c>
      <c r="R483" s="1">
        <v>19.2</v>
      </c>
      <c r="S483" s="1">
        <v>5.9</v>
      </c>
      <c r="T483" s="1">
        <v>54.0</v>
      </c>
      <c r="U483" s="1">
        <v>0.4</v>
      </c>
      <c r="V483" s="1">
        <v>1.1</v>
      </c>
      <c r="W483" s="1">
        <v>1.5</v>
      </c>
      <c r="X483" s="1">
        <f t="array" ref="X483:AR483">XLOOKUP(MID(A483, SEARCH("+++", A483) + 3, LEN(A483)),'Defensive Data'!$A$2:$A$134,'Defensive Data'!$D$2:$X$134)</f>
        <v>14.8</v>
      </c>
      <c r="Y483" s="1">
        <v>23.3</v>
      </c>
      <c r="Z483" s="1">
        <v>63.4</v>
      </c>
      <c r="AA483" s="1">
        <v>183.7</v>
      </c>
      <c r="AB483" s="1">
        <v>0.8</v>
      </c>
      <c r="AC483" s="1">
        <v>36.3</v>
      </c>
      <c r="AD483" s="1">
        <v>161.8</v>
      </c>
      <c r="AE483" s="1">
        <v>4.5</v>
      </c>
      <c r="AF483" s="1">
        <v>1.7</v>
      </c>
      <c r="AG483" s="1">
        <v>59.6</v>
      </c>
      <c r="AH483" s="1">
        <v>345.5</v>
      </c>
      <c r="AI483" s="1">
        <v>5.8</v>
      </c>
      <c r="AJ483" s="1">
        <v>7.8</v>
      </c>
      <c r="AK483" s="1">
        <v>8.7</v>
      </c>
      <c r="AL483" s="1">
        <v>1.4</v>
      </c>
      <c r="AM483" s="1">
        <v>17.9</v>
      </c>
      <c r="AN483" s="1">
        <v>6.8</v>
      </c>
      <c r="AO483" s="1">
        <v>55.2</v>
      </c>
      <c r="AP483" s="1">
        <v>0.5</v>
      </c>
      <c r="AQ483" s="1">
        <v>0.8</v>
      </c>
      <c r="AR483" s="1">
        <v>1.3</v>
      </c>
    </row>
    <row r="484" ht="15.75" customHeight="1">
      <c r="A484" s="1" t="str">
        <f>CONCATENATE(Scores!A484,"+++",Scores!C484)</f>
        <v> Georgia+++ Texas</v>
      </c>
      <c r="B484" s="1">
        <f>Scores!B484</f>
        <v>30</v>
      </c>
      <c r="C484" s="1" t="str">
        <f t="array" ref="C484">XLOOKUP(LEFT(A484,SEARCH("+",A484)-1),'Offensive Data'!$A$2:$A$134,'Offensive Data'!$D$2:$X$134)</f>
        <v>#N/A</v>
      </c>
      <c r="X484" s="1" t="str">
        <f t="array" ref="X484">XLOOKUP(MID(A484, SEARCH("+++", A484) + 3, LEN(A484)),'Defensive Data'!$A$2:$A$134,'Defensive Data'!$D$2:$X$134)</f>
        <v>#N/A</v>
      </c>
    </row>
    <row r="485" ht="15.75" customHeight="1">
      <c r="A485" s="1" t="str">
        <f>CONCATENATE(Scores!A485,"+++",Scores!C485)</f>
        <v>Georgia Southern+++James Madison</v>
      </c>
      <c r="B485" s="1">
        <f>Scores!B485</f>
        <v>28</v>
      </c>
      <c r="C485" s="1">
        <f t="array" ref="C485:W485">XLOOKUP(LEFT(A485,SEARCH("+",A485)-1),'Offensive Data'!$A$2:$A$134,'Offensive Data'!$D$2:$X$134)</f>
        <v>22.2</v>
      </c>
      <c r="D485" s="1">
        <v>34.3</v>
      </c>
      <c r="E485" s="1">
        <v>64.8</v>
      </c>
      <c r="F485" s="1">
        <v>237.8</v>
      </c>
      <c r="G485" s="1">
        <v>1.6</v>
      </c>
      <c r="H485" s="1">
        <v>34.4</v>
      </c>
      <c r="I485" s="1">
        <v>128.4</v>
      </c>
      <c r="J485" s="1">
        <v>3.7</v>
      </c>
      <c r="K485" s="1">
        <v>1.8</v>
      </c>
      <c r="L485" s="1">
        <v>68.7</v>
      </c>
      <c r="M485" s="1">
        <v>366.2</v>
      </c>
      <c r="N485" s="1">
        <v>5.3</v>
      </c>
      <c r="O485" s="1">
        <v>10.7</v>
      </c>
      <c r="P485" s="1">
        <v>8.4</v>
      </c>
      <c r="Q485" s="1">
        <v>2.7</v>
      </c>
      <c r="R485" s="1">
        <v>21.8</v>
      </c>
      <c r="S485" s="1">
        <v>5.6</v>
      </c>
      <c r="T485" s="1">
        <v>48.3</v>
      </c>
      <c r="U485" s="1">
        <v>0.8</v>
      </c>
      <c r="V485" s="1">
        <v>0.8</v>
      </c>
      <c r="W485" s="1">
        <v>1.7</v>
      </c>
      <c r="X485" s="1">
        <f t="array" ref="X485:AR485">XLOOKUP(MID(A485, SEARCH("+++", A485) + 3, LEN(A485)),'Defensive Data'!$A$2:$A$134,'Defensive Data'!$D$2:$X$134)</f>
        <v>18</v>
      </c>
      <c r="Y485" s="1">
        <v>33.0</v>
      </c>
      <c r="Z485" s="1">
        <v>54.5</v>
      </c>
      <c r="AA485" s="1">
        <v>206.5</v>
      </c>
      <c r="AB485" s="1">
        <v>1.2</v>
      </c>
      <c r="AC485" s="1">
        <v>33.1</v>
      </c>
      <c r="AD485" s="1">
        <v>115.4</v>
      </c>
      <c r="AE485" s="1">
        <v>3.5</v>
      </c>
      <c r="AF485" s="1">
        <v>1.0</v>
      </c>
      <c r="AG485" s="1">
        <v>66.1</v>
      </c>
      <c r="AH485" s="1">
        <v>321.8</v>
      </c>
      <c r="AI485" s="1">
        <v>4.9</v>
      </c>
      <c r="AJ485" s="1">
        <v>9.4</v>
      </c>
      <c r="AK485" s="1">
        <v>6.6</v>
      </c>
      <c r="AL485" s="1">
        <v>1.5</v>
      </c>
      <c r="AM485" s="1">
        <v>17.5</v>
      </c>
      <c r="AN485" s="1">
        <v>5.2</v>
      </c>
      <c r="AO485" s="1">
        <v>45.2</v>
      </c>
      <c r="AP485" s="1">
        <v>0.9</v>
      </c>
      <c r="AQ485" s="1">
        <v>1.3</v>
      </c>
      <c r="AR485" s="1">
        <v>2.2</v>
      </c>
    </row>
    <row r="486" ht="15.75" customHeight="1">
      <c r="A486" s="1" t="str">
        <f>CONCATENATE(Scores!A486,"+++",Scores!C486)</f>
        <v> Illinois+++ Michigan</v>
      </c>
      <c r="B486" s="1">
        <f>Scores!B486</f>
        <v>21</v>
      </c>
      <c r="C486" s="1" t="str">
        <f t="array" ref="C486">XLOOKUP(LEFT(A486,SEARCH("+",A486)-1),'Offensive Data'!$A$2:$A$134,'Offensive Data'!$D$2:$X$134)</f>
        <v>#N/A</v>
      </c>
      <c r="X486" s="1" t="str">
        <f t="array" ref="X486">XLOOKUP(MID(A486, SEARCH("+++", A486) + 3, LEN(A486)),'Defensive Data'!$A$2:$A$134,'Defensive Data'!$D$2:$X$134)</f>
        <v>#N/A</v>
      </c>
    </row>
    <row r="487" ht="15.75" customHeight="1">
      <c r="A487" s="1" t="str">
        <f>CONCATENATE(Scores!A487,"+++",Scores!C487)</f>
        <v> Indiana+++Nebraska</v>
      </c>
      <c r="B487" s="1">
        <f>Scores!B487</f>
        <v>56</v>
      </c>
      <c r="C487" s="1" t="str">
        <f t="array" ref="C487">XLOOKUP(LEFT(A487,SEARCH("+",A487)-1),'Offensive Data'!$A$2:$A$134,'Offensive Data'!$D$2:$X$134)</f>
        <v>#N/A</v>
      </c>
      <c r="X487" s="1">
        <f t="array" ref="X487:AR487">XLOOKUP(MID(A487, SEARCH("+++", A487) + 3, LEN(A487)),'Defensive Data'!$A$2:$A$134,'Defensive Data'!$D$2:$X$134)</f>
        <v>18.6</v>
      </c>
      <c r="Y487" s="1">
        <v>29.2</v>
      </c>
      <c r="Z487" s="1">
        <v>63.9</v>
      </c>
      <c r="AA487" s="1">
        <v>216.7</v>
      </c>
      <c r="AB487" s="1">
        <v>1.8</v>
      </c>
      <c r="AC487" s="1">
        <v>30.0</v>
      </c>
      <c r="AD487" s="1">
        <v>101.2</v>
      </c>
      <c r="AE487" s="1">
        <v>3.4</v>
      </c>
      <c r="AF487" s="1">
        <v>0.6</v>
      </c>
      <c r="AG487" s="1">
        <v>59.2</v>
      </c>
      <c r="AH487" s="1">
        <v>317.9</v>
      </c>
      <c r="AI487" s="1">
        <v>5.4</v>
      </c>
      <c r="AJ487" s="1">
        <v>9.3</v>
      </c>
      <c r="AK487" s="1">
        <v>5.3</v>
      </c>
      <c r="AL487" s="1">
        <v>1.8</v>
      </c>
      <c r="AM487" s="1">
        <v>16.5</v>
      </c>
      <c r="AN487" s="1">
        <v>6.2</v>
      </c>
      <c r="AO487" s="1">
        <v>62.5</v>
      </c>
      <c r="AP487" s="1">
        <v>0.5</v>
      </c>
      <c r="AQ487" s="1">
        <v>0.8</v>
      </c>
      <c r="AR487" s="1">
        <v>1.3</v>
      </c>
    </row>
    <row r="488" ht="15.75" customHeight="1">
      <c r="A488" s="1" t="str">
        <f>CONCATENATE(Scores!A488,"+++",Scores!C488)</f>
        <v> Iowa State+++Central Florida</v>
      </c>
      <c r="B488" s="1">
        <f>Scores!B488</f>
        <v>38</v>
      </c>
      <c r="C488" s="1" t="str">
        <f t="array" ref="C488">XLOOKUP(LEFT(A488,SEARCH("+",A488)-1),'Offensive Data'!$A$2:$A$134,'Offensive Data'!$D$2:$X$134)</f>
        <v>#N/A</v>
      </c>
      <c r="X488" s="1" t="str">
        <f t="array" ref="X488">XLOOKUP(MID(A488, SEARCH("+++", A488) + 3, LEN(A488)),'Defensive Data'!$A$2:$A$134,'Defensive Data'!$D$2:$X$134)</f>
        <v>#N/A</v>
      </c>
    </row>
    <row r="489" ht="15.75" customHeight="1">
      <c r="A489" s="1" t="str">
        <f>CONCATENATE(Scores!A489,"+++",Scores!C489)</f>
        <v>Kansas+++Houston</v>
      </c>
      <c r="B489" s="1">
        <f>Scores!B489</f>
        <v>42</v>
      </c>
      <c r="C489" s="1">
        <f t="array" ref="C489:W489">XLOOKUP(LEFT(A489,SEARCH("+",A489)-1),'Offensive Data'!$A$2:$A$134,'Offensive Data'!$D$2:$X$134)</f>
        <v>14.7</v>
      </c>
      <c r="D489" s="1">
        <v>25.5</v>
      </c>
      <c r="E489" s="1">
        <v>57.5</v>
      </c>
      <c r="F489" s="1">
        <v>208.8</v>
      </c>
      <c r="G489" s="1">
        <v>1.3</v>
      </c>
      <c r="H489" s="1">
        <v>38.3</v>
      </c>
      <c r="I489" s="1">
        <v>211.4</v>
      </c>
      <c r="J489" s="1">
        <v>5.5</v>
      </c>
      <c r="K489" s="1">
        <v>2.4</v>
      </c>
      <c r="L489" s="1">
        <v>63.8</v>
      </c>
      <c r="M489" s="1">
        <v>420.2</v>
      </c>
      <c r="N489" s="1">
        <v>6.6</v>
      </c>
      <c r="O489" s="1">
        <v>9.0</v>
      </c>
      <c r="P489" s="1">
        <v>11.1</v>
      </c>
      <c r="Q489" s="1">
        <v>1.4</v>
      </c>
      <c r="R489" s="1">
        <v>21.5</v>
      </c>
      <c r="S489" s="1">
        <v>4.5</v>
      </c>
      <c r="T489" s="1">
        <v>38.7</v>
      </c>
      <c r="U489" s="1">
        <v>0.4</v>
      </c>
      <c r="V489" s="1">
        <v>1.0</v>
      </c>
      <c r="W489" s="1">
        <v>1.4</v>
      </c>
      <c r="X489" s="1">
        <f t="array" ref="X489:AR489">XLOOKUP(MID(A489, SEARCH("+++", A489) + 3, LEN(A489)),'Defensive Data'!$A$2:$A$134,'Defensive Data'!$D$2:$X$134)</f>
        <v>16.6</v>
      </c>
      <c r="Y489" s="1">
        <v>27.8</v>
      </c>
      <c r="Z489" s="1">
        <v>59.8</v>
      </c>
      <c r="AA489" s="1">
        <v>188.8</v>
      </c>
      <c r="AB489" s="1">
        <v>1.5</v>
      </c>
      <c r="AC489" s="1">
        <v>34.7</v>
      </c>
      <c r="AD489" s="1">
        <v>135.9</v>
      </c>
      <c r="AE489" s="1">
        <v>3.9</v>
      </c>
      <c r="AF489" s="1">
        <v>1.2</v>
      </c>
      <c r="AG489" s="1">
        <v>62.4</v>
      </c>
      <c r="AH489" s="1">
        <v>324.8</v>
      </c>
      <c r="AI489" s="1">
        <v>5.2</v>
      </c>
      <c r="AJ489" s="1">
        <v>8.6</v>
      </c>
      <c r="AK489" s="1">
        <v>7.5</v>
      </c>
      <c r="AL489" s="1">
        <v>1.8</v>
      </c>
      <c r="AM489" s="1">
        <v>17.8</v>
      </c>
      <c r="AN489" s="1">
        <v>4.5</v>
      </c>
      <c r="AO489" s="1">
        <v>42.3</v>
      </c>
      <c r="AP489" s="1">
        <v>0.6</v>
      </c>
      <c r="AQ489" s="1">
        <v>1.0</v>
      </c>
      <c r="AR489" s="1">
        <v>1.6</v>
      </c>
    </row>
    <row r="490" ht="15.75" customHeight="1">
      <c r="A490" s="1" t="str">
        <f>CONCATENATE(Scores!A490,"+++",Scores!C490)</f>
        <v> Kansas State+++West Virginia</v>
      </c>
      <c r="B490" s="1">
        <f>Scores!B490</f>
        <v>45</v>
      </c>
      <c r="C490" s="1" t="str">
        <f t="array" ref="C490">XLOOKUP(LEFT(A490,SEARCH("+",A490)-1),'Offensive Data'!$A$2:$A$134,'Offensive Data'!$D$2:$X$134)</f>
        <v>#N/A</v>
      </c>
      <c r="X490" s="1">
        <f t="array" ref="X490:AR490">XLOOKUP(MID(A490, SEARCH("+++", A490) + 3, LEN(A490)),'Defensive Data'!$A$2:$A$134,'Defensive Data'!$D$2:$X$134)</f>
        <v>19</v>
      </c>
      <c r="Y490" s="1">
        <v>29.7</v>
      </c>
      <c r="Z490" s="1">
        <v>64.0</v>
      </c>
      <c r="AA490" s="1">
        <v>270.8</v>
      </c>
      <c r="AB490" s="1">
        <v>2.0</v>
      </c>
      <c r="AC490" s="1">
        <v>34.2</v>
      </c>
      <c r="AD490" s="1">
        <v>144.4</v>
      </c>
      <c r="AE490" s="1">
        <v>4.2</v>
      </c>
      <c r="AF490" s="1">
        <v>2.2</v>
      </c>
      <c r="AG490" s="1">
        <v>63.8</v>
      </c>
      <c r="AH490" s="1">
        <v>415.2</v>
      </c>
      <c r="AI490" s="1">
        <v>6.5</v>
      </c>
      <c r="AJ490" s="1">
        <v>12.0</v>
      </c>
      <c r="AK490" s="1">
        <v>8.4</v>
      </c>
      <c r="AL490" s="1">
        <v>1.4</v>
      </c>
      <c r="AM490" s="1">
        <v>21.8</v>
      </c>
      <c r="AN490" s="1">
        <v>5.9</v>
      </c>
      <c r="AO490" s="1">
        <v>51.1</v>
      </c>
      <c r="AP490" s="1">
        <v>0.5</v>
      </c>
      <c r="AQ490" s="1">
        <v>0.4</v>
      </c>
      <c r="AR490" s="1">
        <v>0.8</v>
      </c>
    </row>
    <row r="491" ht="15.75" customHeight="1">
      <c r="A491" s="1" t="str">
        <f>CONCATENATE(Scores!A491,"+++",Scores!C491)</f>
        <v>Louisiana+++Coastal Carolina</v>
      </c>
      <c r="B491" s="1">
        <f>Scores!B491</f>
        <v>34</v>
      </c>
      <c r="C491" s="1">
        <f t="array" ref="C491:W491">XLOOKUP(LEFT(A491,SEARCH("+",A491)-1),'Offensive Data'!$A$2:$A$134,'Offensive Data'!$D$2:$X$134)</f>
        <v>19.2</v>
      </c>
      <c r="D491" s="1">
        <v>29.4</v>
      </c>
      <c r="E491" s="1">
        <v>65.3</v>
      </c>
      <c r="F491" s="1">
        <v>248.7</v>
      </c>
      <c r="G491" s="1">
        <v>1.6</v>
      </c>
      <c r="H491" s="1">
        <v>34.6</v>
      </c>
      <c r="I491" s="1">
        <v>166.4</v>
      </c>
      <c r="J491" s="1">
        <v>4.8</v>
      </c>
      <c r="K491" s="1">
        <v>1.9</v>
      </c>
      <c r="L491" s="1">
        <v>64.0</v>
      </c>
      <c r="M491" s="1">
        <v>415.1</v>
      </c>
      <c r="N491" s="1">
        <v>6.5</v>
      </c>
      <c r="O491" s="1">
        <v>10.7</v>
      </c>
      <c r="P491" s="1">
        <v>8.1</v>
      </c>
      <c r="Q491" s="1">
        <v>1.9</v>
      </c>
      <c r="R491" s="1">
        <v>20.7</v>
      </c>
      <c r="S491" s="1">
        <v>5.9</v>
      </c>
      <c r="T491" s="1">
        <v>48.8</v>
      </c>
      <c r="U491" s="1">
        <v>0.1</v>
      </c>
      <c r="V491" s="1">
        <v>0.6</v>
      </c>
      <c r="W491" s="1">
        <v>0.8</v>
      </c>
      <c r="X491" s="1">
        <f t="array" ref="X491:AR491">XLOOKUP(MID(A491, SEARCH("+++", A491) + 3, LEN(A491)),'Defensive Data'!$A$2:$A$134,'Defensive Data'!$D$2:$X$134)</f>
        <v>18.3</v>
      </c>
      <c r="Y491" s="1">
        <v>29.9</v>
      </c>
      <c r="Z491" s="1">
        <v>61.2</v>
      </c>
      <c r="AA491" s="1">
        <v>227.8</v>
      </c>
      <c r="AB491" s="1">
        <v>1.8</v>
      </c>
      <c r="AC491" s="1">
        <v>39.4</v>
      </c>
      <c r="AD491" s="1">
        <v>186.8</v>
      </c>
      <c r="AE491" s="1">
        <v>4.7</v>
      </c>
      <c r="AF491" s="1">
        <v>1.7</v>
      </c>
      <c r="AG491" s="1">
        <v>69.3</v>
      </c>
      <c r="AH491" s="1">
        <v>414.6</v>
      </c>
      <c r="AI491" s="1">
        <v>6.0</v>
      </c>
      <c r="AJ491" s="1">
        <v>9.6</v>
      </c>
      <c r="AK491" s="1">
        <v>9.9</v>
      </c>
      <c r="AL491" s="1">
        <v>1.5</v>
      </c>
      <c r="AM491" s="1">
        <v>21.0</v>
      </c>
      <c r="AN491" s="1">
        <v>6.3</v>
      </c>
      <c r="AO491" s="1">
        <v>52.4</v>
      </c>
      <c r="AP491" s="1">
        <v>0.8</v>
      </c>
      <c r="AQ491" s="1">
        <v>0.8</v>
      </c>
      <c r="AR491" s="1">
        <v>1.7</v>
      </c>
    </row>
    <row r="492" ht="15.75" customHeight="1">
      <c r="A492" s="1" t="str">
        <f>CONCATENATE(Scores!A492,"+++",Scores!C492)</f>
        <v> Louisiana State+++Arkansas</v>
      </c>
      <c r="B492" s="1">
        <f>Scores!B492</f>
        <v>34</v>
      </c>
      <c r="C492" s="1" t="str">
        <f t="array" ref="C492">XLOOKUP(LEFT(A492,SEARCH("+",A492)-1),'Offensive Data'!$A$2:$A$134,'Offensive Data'!$D$2:$X$134)</f>
        <v>#N/A</v>
      </c>
      <c r="X492" s="1">
        <f t="array" ref="X492:AR492">XLOOKUP(MID(A492, SEARCH("+++", A492) + 3, LEN(A492)),'Defensive Data'!$A$2:$A$134,'Defensive Data'!$D$2:$X$134)</f>
        <v>19.9</v>
      </c>
      <c r="Y492" s="1">
        <v>32.2</v>
      </c>
      <c r="Z492" s="1">
        <v>62.0</v>
      </c>
      <c r="AA492" s="1">
        <v>246.9</v>
      </c>
      <c r="AB492" s="1">
        <v>1.7</v>
      </c>
      <c r="AC492" s="1">
        <v>35.6</v>
      </c>
      <c r="AD492" s="1">
        <v>129.2</v>
      </c>
      <c r="AE492" s="1">
        <v>3.6</v>
      </c>
      <c r="AF492" s="1">
        <v>1.2</v>
      </c>
      <c r="AG492" s="1">
        <v>67.8</v>
      </c>
      <c r="AH492" s="1">
        <v>376.1</v>
      </c>
      <c r="AI492" s="1">
        <v>5.5</v>
      </c>
      <c r="AJ492" s="1">
        <v>11.0</v>
      </c>
      <c r="AK492" s="1">
        <v>6.5</v>
      </c>
      <c r="AL492" s="1">
        <v>2.4</v>
      </c>
      <c r="AM492" s="1">
        <v>19.9</v>
      </c>
      <c r="AN492" s="1">
        <v>6.5</v>
      </c>
      <c r="AO492" s="1">
        <v>53.9</v>
      </c>
      <c r="AP492" s="1">
        <v>0.4</v>
      </c>
      <c r="AQ492" s="1">
        <v>0.8</v>
      </c>
      <c r="AR492" s="1">
        <v>1.2</v>
      </c>
    </row>
    <row r="493" ht="15.75" customHeight="1">
      <c r="A493" s="1" t="str">
        <f>CONCATENATE(Scores!A493,"+++",Scores!C493)</f>
        <v>Maryland+++Southern California</v>
      </c>
      <c r="B493" s="1">
        <f>Scores!B493</f>
        <v>29</v>
      </c>
      <c r="C493" s="1">
        <f t="array" ref="C493:W493">XLOOKUP(LEFT(A493,SEARCH("+",A493)-1),'Offensive Data'!$A$2:$A$134,'Offensive Data'!$D$2:$X$134)</f>
        <v>26.3</v>
      </c>
      <c r="D493" s="1">
        <v>41.2</v>
      </c>
      <c r="E493" s="1">
        <v>63.8</v>
      </c>
      <c r="F493" s="1">
        <v>275.7</v>
      </c>
      <c r="G493" s="1">
        <v>1.8</v>
      </c>
      <c r="H493" s="1">
        <v>30.8</v>
      </c>
      <c r="I493" s="1">
        <v>110.4</v>
      </c>
      <c r="J493" s="1">
        <v>3.6</v>
      </c>
      <c r="K493" s="1">
        <v>1.3</v>
      </c>
      <c r="L493" s="1">
        <v>72.0</v>
      </c>
      <c r="M493" s="1">
        <v>386.1</v>
      </c>
      <c r="N493" s="1">
        <v>5.4</v>
      </c>
      <c r="O493" s="1">
        <v>13.1</v>
      </c>
      <c r="P493" s="1">
        <v>6.3</v>
      </c>
      <c r="Q493" s="1">
        <v>2.2</v>
      </c>
      <c r="R493" s="1">
        <v>21.5</v>
      </c>
      <c r="S493" s="1">
        <v>6.4</v>
      </c>
      <c r="T493" s="1">
        <v>58.6</v>
      </c>
      <c r="U493" s="1">
        <v>0.5</v>
      </c>
      <c r="V493" s="1">
        <v>1.2</v>
      </c>
      <c r="W493" s="1">
        <v>1.7</v>
      </c>
      <c r="X493" s="1" t="str">
        <f t="array" ref="X493">XLOOKUP(MID(A493, SEARCH("+++", A493) + 3, LEN(A493)),'Defensive Data'!$A$2:$A$134,'Defensive Data'!$D$2:$X$134)</f>
        <v>#N/A</v>
      </c>
    </row>
    <row r="494" ht="15.75" customHeight="1">
      <c r="A494" s="1" t="str">
        <f>CONCATENATE(Scores!A494,"+++",Scores!C494)</f>
        <v>Memphis+++North Texas</v>
      </c>
      <c r="B494" s="1">
        <f>Scores!B494</f>
        <v>52</v>
      </c>
      <c r="C494" s="1">
        <f t="array" ref="C494:W494">XLOOKUP(LEFT(A494,SEARCH("+",A494)-1),'Offensive Data'!$A$2:$A$134,'Offensive Data'!$D$2:$X$134)</f>
        <v>23.8</v>
      </c>
      <c r="D494" s="1">
        <v>36.8</v>
      </c>
      <c r="E494" s="1">
        <v>64.7</v>
      </c>
      <c r="F494" s="1">
        <v>270.5</v>
      </c>
      <c r="G494" s="1">
        <v>1.9</v>
      </c>
      <c r="H494" s="1">
        <v>34.5</v>
      </c>
      <c r="I494" s="1">
        <v>174.1</v>
      </c>
      <c r="J494" s="1">
        <v>5.1</v>
      </c>
      <c r="K494" s="1">
        <v>2.5</v>
      </c>
      <c r="L494" s="1">
        <v>71.3</v>
      </c>
      <c r="M494" s="1">
        <v>444.5</v>
      </c>
      <c r="N494" s="1">
        <v>6.2</v>
      </c>
      <c r="O494" s="1">
        <v>11.5</v>
      </c>
      <c r="P494" s="1">
        <v>9.4</v>
      </c>
      <c r="Q494" s="1">
        <v>2.2</v>
      </c>
      <c r="R494" s="1">
        <v>23.1</v>
      </c>
      <c r="S494" s="1">
        <v>5.3</v>
      </c>
      <c r="T494" s="1">
        <v>48.0</v>
      </c>
      <c r="U494" s="1">
        <v>0.2</v>
      </c>
      <c r="V494" s="1">
        <v>0.5</v>
      </c>
      <c r="W494" s="1">
        <v>0.6</v>
      </c>
      <c r="X494" s="1">
        <f t="array" ref="X494:AR494">XLOOKUP(MID(A494, SEARCH("+++", A494) + 3, LEN(A494)),'Defensive Data'!$A$2:$A$134,'Defensive Data'!$D$2:$X$134)</f>
        <v>20.1</v>
      </c>
      <c r="Y494" s="1">
        <v>32.8</v>
      </c>
      <c r="Z494" s="1">
        <v>61.3</v>
      </c>
      <c r="AA494" s="1">
        <v>264.6</v>
      </c>
      <c r="AB494" s="1">
        <v>1.8</v>
      </c>
      <c r="AC494" s="1">
        <v>41.8</v>
      </c>
      <c r="AD494" s="1">
        <v>195.9</v>
      </c>
      <c r="AE494" s="1">
        <v>4.7</v>
      </c>
      <c r="AF494" s="1">
        <v>2.2</v>
      </c>
      <c r="AG494" s="1">
        <v>74.6</v>
      </c>
      <c r="AH494" s="1">
        <v>460.5</v>
      </c>
      <c r="AI494" s="1">
        <v>6.2</v>
      </c>
      <c r="AJ494" s="1">
        <v>11.0</v>
      </c>
      <c r="AK494" s="1">
        <v>10.2</v>
      </c>
      <c r="AL494" s="1">
        <v>1.8</v>
      </c>
      <c r="AM494" s="1">
        <v>23.0</v>
      </c>
      <c r="AN494" s="1">
        <v>7.0</v>
      </c>
      <c r="AO494" s="1">
        <v>63.8</v>
      </c>
      <c r="AP494" s="1">
        <v>0.4</v>
      </c>
      <c r="AQ494" s="1">
        <v>0.8</v>
      </c>
      <c r="AR494" s="1">
        <v>1.2</v>
      </c>
    </row>
    <row r="495" ht="15.75" customHeight="1">
      <c r="A495" s="1" t="str">
        <f>CONCATENATE(Scores!A495,"+++",Scores!C495)</f>
        <v> Miami (FL)+++Louisville</v>
      </c>
      <c r="B495" s="1">
        <f>Scores!B495</f>
        <v>52</v>
      </c>
      <c r="C495" s="1" t="str">
        <f t="array" ref="C495">XLOOKUP(LEFT(A495,SEARCH("+",A495)-1),'Offensive Data'!$A$2:$A$134,'Offensive Data'!$D$2:$X$134)</f>
        <v>#N/A</v>
      </c>
      <c r="X495" s="1">
        <f t="array" ref="X495:AR495">XLOOKUP(MID(A495, SEARCH("+++", A495) + 3, LEN(A495)),'Defensive Data'!$A$2:$A$134,'Defensive Data'!$D$2:$X$134)</f>
        <v>20.2</v>
      </c>
      <c r="Y495" s="1">
        <v>32.5</v>
      </c>
      <c r="Z495" s="1">
        <v>62.3</v>
      </c>
      <c r="AA495" s="1">
        <v>236.2</v>
      </c>
      <c r="AB495" s="1">
        <v>1.8</v>
      </c>
      <c r="AC495" s="1">
        <v>35.7</v>
      </c>
      <c r="AD495" s="1">
        <v>132.5</v>
      </c>
      <c r="AE495" s="1">
        <v>3.7</v>
      </c>
      <c r="AF495" s="1">
        <v>1.2</v>
      </c>
      <c r="AG495" s="1">
        <v>68.2</v>
      </c>
      <c r="AH495" s="1">
        <v>368.7</v>
      </c>
      <c r="AI495" s="1">
        <v>5.4</v>
      </c>
      <c r="AJ495" s="1">
        <v>9.6</v>
      </c>
      <c r="AK495" s="1">
        <v>8.1</v>
      </c>
      <c r="AL495" s="1">
        <v>1.5</v>
      </c>
      <c r="AM495" s="1">
        <v>19.2</v>
      </c>
      <c r="AN495" s="1">
        <v>4.7</v>
      </c>
      <c r="AO495" s="1">
        <v>44.3</v>
      </c>
      <c r="AP495" s="1">
        <v>0.5</v>
      </c>
      <c r="AQ495" s="1">
        <v>0.8</v>
      </c>
      <c r="AR495" s="1">
        <v>1.3</v>
      </c>
    </row>
    <row r="496" ht="15.75" customHeight="1">
      <c r="A496" s="1" t="str">
        <f>CONCATENATE(Scores!A496,"+++",Scores!C496)</f>
        <v>Miami (OH)+++Ohio</v>
      </c>
      <c r="B496" s="1">
        <f>Scores!B496</f>
        <v>30</v>
      </c>
      <c r="C496" s="1">
        <f t="array" ref="C496:W496">XLOOKUP(LEFT(A496,SEARCH("+",A496)-1),'Offensive Data'!$A$2:$A$134,'Offensive Data'!$D$2:$X$134)</f>
        <v>16.1</v>
      </c>
      <c r="D496" s="1">
        <v>28.5</v>
      </c>
      <c r="E496" s="1">
        <v>56.4</v>
      </c>
      <c r="F496" s="1">
        <v>217.4</v>
      </c>
      <c r="G496" s="1">
        <v>1.6</v>
      </c>
      <c r="H496" s="1">
        <v>29.5</v>
      </c>
      <c r="I496" s="1">
        <v>135.3</v>
      </c>
      <c r="J496" s="1">
        <v>4.6</v>
      </c>
      <c r="K496" s="1">
        <v>1.0</v>
      </c>
      <c r="L496" s="1">
        <v>58.0</v>
      </c>
      <c r="M496" s="1">
        <v>352.7</v>
      </c>
      <c r="N496" s="1">
        <v>6.1</v>
      </c>
      <c r="O496" s="1">
        <v>9.7</v>
      </c>
      <c r="P496" s="1">
        <v>5.9</v>
      </c>
      <c r="Q496" s="1">
        <v>1.2</v>
      </c>
      <c r="R496" s="1">
        <v>16.9</v>
      </c>
      <c r="S496" s="1">
        <v>5.3</v>
      </c>
      <c r="T496" s="1">
        <v>41.8</v>
      </c>
      <c r="U496" s="1">
        <v>0.4</v>
      </c>
      <c r="V496" s="1">
        <v>0.9</v>
      </c>
      <c r="W496" s="1">
        <v>1.3</v>
      </c>
      <c r="X496" s="1">
        <f t="array" ref="X496:AR496">XLOOKUP(MID(A496, SEARCH("+++", A496) + 3, LEN(A496)),'Defensive Data'!$A$2:$A$134,'Defensive Data'!$D$2:$X$134)</f>
        <v>18.9</v>
      </c>
      <c r="Y496" s="1">
        <v>31.0</v>
      </c>
      <c r="Z496" s="1">
        <v>61.1</v>
      </c>
      <c r="AA496" s="1">
        <v>212.6</v>
      </c>
      <c r="AB496" s="1">
        <v>1.1</v>
      </c>
      <c r="AC496" s="1">
        <v>30.7</v>
      </c>
      <c r="AD496" s="1">
        <v>90.6</v>
      </c>
      <c r="AE496" s="1">
        <v>2.9</v>
      </c>
      <c r="AF496" s="1">
        <v>1.0</v>
      </c>
      <c r="AG496" s="1">
        <v>61.7</v>
      </c>
      <c r="AH496" s="1">
        <v>303.1</v>
      </c>
      <c r="AI496" s="1">
        <v>4.9</v>
      </c>
      <c r="AJ496" s="1">
        <v>9.8</v>
      </c>
      <c r="AK496" s="1">
        <v>5.8</v>
      </c>
      <c r="AL496" s="1">
        <v>1.0</v>
      </c>
      <c r="AM496" s="1">
        <v>16.6</v>
      </c>
      <c r="AN496" s="1">
        <v>5.7</v>
      </c>
      <c r="AO496" s="1">
        <v>52.4</v>
      </c>
      <c r="AP496" s="1">
        <v>0.6</v>
      </c>
      <c r="AQ496" s="1">
        <v>0.8</v>
      </c>
      <c r="AR496" s="1">
        <v>1.4</v>
      </c>
    </row>
    <row r="497" ht="15.75" customHeight="1">
      <c r="A497" s="1" t="str">
        <f>CONCATENATE(Scores!A497,"+++",Scores!C497)</f>
        <v>Michigan State+++Iowa</v>
      </c>
      <c r="B497" s="1">
        <f>Scores!B497</f>
        <v>32</v>
      </c>
      <c r="C497" s="1">
        <f t="array" ref="C497:W497">XLOOKUP(LEFT(A497,SEARCH("+",A497)-1),'Offensive Data'!$A$2:$A$134,'Offensive Data'!$D$2:$X$134)</f>
        <v>17.7</v>
      </c>
      <c r="D497" s="1">
        <v>29.4</v>
      </c>
      <c r="E497" s="1">
        <v>60.1</v>
      </c>
      <c r="F497" s="1">
        <v>218.1</v>
      </c>
      <c r="G497" s="1">
        <v>1.1</v>
      </c>
      <c r="H497" s="1">
        <v>32.8</v>
      </c>
      <c r="I497" s="1">
        <v>116.3</v>
      </c>
      <c r="J497" s="1">
        <v>3.6</v>
      </c>
      <c r="K497" s="1">
        <v>0.9</v>
      </c>
      <c r="L497" s="1">
        <v>62.2</v>
      </c>
      <c r="M497" s="1">
        <v>334.4</v>
      </c>
      <c r="N497" s="1">
        <v>5.4</v>
      </c>
      <c r="O497" s="1">
        <v>9.2</v>
      </c>
      <c r="P497" s="1">
        <v>8.3</v>
      </c>
      <c r="Q497" s="1">
        <v>1.4</v>
      </c>
      <c r="R497" s="1">
        <v>18.8</v>
      </c>
      <c r="S497" s="1">
        <v>6.7</v>
      </c>
      <c r="T497" s="1">
        <v>63.3</v>
      </c>
      <c r="U497" s="1">
        <v>0.6</v>
      </c>
      <c r="V497" s="1">
        <v>1.0</v>
      </c>
      <c r="W497" s="1">
        <v>1.6</v>
      </c>
      <c r="X497" s="1">
        <f t="array" ref="X497:AR497">XLOOKUP(MID(A497, SEARCH("+++", A497) + 3, LEN(A497)),'Defensive Data'!$A$2:$A$134,'Defensive Data'!$D$2:$X$134)</f>
        <v>20</v>
      </c>
      <c r="Y497" s="1">
        <v>32.3</v>
      </c>
      <c r="Z497" s="1">
        <v>61.9</v>
      </c>
      <c r="AA497" s="1">
        <v>203.1</v>
      </c>
      <c r="AB497" s="1">
        <v>1.5</v>
      </c>
      <c r="AC497" s="1">
        <v>31.2</v>
      </c>
      <c r="AD497" s="1">
        <v>115.3</v>
      </c>
      <c r="AE497" s="1">
        <v>3.7</v>
      </c>
      <c r="AF497" s="1">
        <v>0.3</v>
      </c>
      <c r="AG497" s="1">
        <v>63.5</v>
      </c>
      <c r="AH497" s="1">
        <v>318.4</v>
      </c>
      <c r="AI497" s="1">
        <v>5.0</v>
      </c>
      <c r="AJ497" s="1">
        <v>9.5</v>
      </c>
      <c r="AK497" s="1">
        <v>7.2</v>
      </c>
      <c r="AL497" s="1">
        <v>1.1</v>
      </c>
      <c r="AM497" s="1">
        <v>17.7</v>
      </c>
      <c r="AN497" s="1">
        <v>5.7</v>
      </c>
      <c r="AO497" s="1">
        <v>44.7</v>
      </c>
      <c r="AP497" s="1">
        <v>0.6</v>
      </c>
      <c r="AQ497" s="1">
        <v>1.2</v>
      </c>
      <c r="AR497" s="1">
        <v>1.8</v>
      </c>
    </row>
    <row r="498" ht="15.75" customHeight="1">
      <c r="A498" s="1" t="str">
        <f>CONCATENATE(Scores!A498,"+++",Scores!C498)</f>
        <v> Missouri+++Auburn</v>
      </c>
      <c r="B498" s="1">
        <f>Scores!B498</f>
        <v>21</v>
      </c>
      <c r="C498" s="1" t="str">
        <f t="array" ref="C498">XLOOKUP(LEFT(A498,SEARCH("+",A498)-1),'Offensive Data'!$A$2:$A$134,'Offensive Data'!$D$2:$X$134)</f>
        <v>#N/A</v>
      </c>
      <c r="X498" s="1">
        <f t="array" ref="X498:AR498">XLOOKUP(MID(A498, SEARCH("+++", A498) + 3, LEN(A498)),'Defensive Data'!$A$2:$A$134,'Defensive Data'!$D$2:$X$134)</f>
        <v>16.6</v>
      </c>
      <c r="Y498" s="1">
        <v>29.5</v>
      </c>
      <c r="Z498" s="1">
        <v>56.2</v>
      </c>
      <c r="AA498" s="1">
        <v>213.0</v>
      </c>
      <c r="AB498" s="1">
        <v>1.0</v>
      </c>
      <c r="AC498" s="1">
        <v>38.3</v>
      </c>
      <c r="AD498" s="1">
        <v>117.8</v>
      </c>
      <c r="AE498" s="1">
        <v>3.1</v>
      </c>
      <c r="AF498" s="1">
        <v>1.5</v>
      </c>
      <c r="AG498" s="1">
        <v>67.8</v>
      </c>
      <c r="AH498" s="1">
        <v>330.8</v>
      </c>
      <c r="AI498" s="1">
        <v>4.9</v>
      </c>
      <c r="AJ498" s="1">
        <v>8.4</v>
      </c>
      <c r="AK498" s="1">
        <v>7.5</v>
      </c>
      <c r="AL498" s="1">
        <v>1.8</v>
      </c>
      <c r="AM498" s="1">
        <v>17.8</v>
      </c>
      <c r="AN498" s="1">
        <v>6.5</v>
      </c>
      <c r="AO498" s="1">
        <v>53.5</v>
      </c>
      <c r="AP498" s="1">
        <v>0.4</v>
      </c>
      <c r="AQ498" s="1">
        <v>0.7</v>
      </c>
      <c r="AR498" s="1">
        <v>1.1</v>
      </c>
    </row>
    <row r="499" ht="15.75" customHeight="1">
      <c r="A499" s="1" t="str">
        <f>CONCATENATE(Scores!A499,"+++",Scores!C499)</f>
        <v> Navy+++Charlotte</v>
      </c>
      <c r="B499" s="1">
        <f>Scores!B499</f>
        <v>51</v>
      </c>
      <c r="C499" s="1" t="str">
        <f t="array" ref="C499">XLOOKUP(LEFT(A499,SEARCH("+",A499)-1),'Offensive Data'!$A$2:$A$134,'Offensive Data'!$D$2:$X$134)</f>
        <v>#N/A</v>
      </c>
      <c r="X499" s="1">
        <f t="array" ref="X499:AR499">XLOOKUP(MID(A499, SEARCH("+++", A499) + 3, LEN(A499)),'Defensive Data'!$A$2:$A$134,'Defensive Data'!$D$2:$X$134)</f>
        <v>17.2</v>
      </c>
      <c r="Y499" s="1">
        <v>28.6</v>
      </c>
      <c r="Z499" s="1">
        <v>60.1</v>
      </c>
      <c r="AA499" s="1">
        <v>222.8</v>
      </c>
      <c r="AB499" s="1">
        <v>1.5</v>
      </c>
      <c r="AC499" s="1">
        <v>40.3</v>
      </c>
      <c r="AD499" s="1">
        <v>210.3</v>
      </c>
      <c r="AE499" s="1">
        <v>5.2</v>
      </c>
      <c r="AF499" s="1">
        <v>2.4</v>
      </c>
      <c r="AG499" s="1">
        <v>68.8</v>
      </c>
      <c r="AH499" s="1">
        <v>433.2</v>
      </c>
      <c r="AI499" s="1">
        <v>6.3</v>
      </c>
      <c r="AJ499" s="1">
        <v>9.2</v>
      </c>
      <c r="AK499" s="1">
        <v>11.5</v>
      </c>
      <c r="AL499" s="1">
        <v>2.4</v>
      </c>
      <c r="AM499" s="1">
        <v>23.1</v>
      </c>
      <c r="AN499" s="1">
        <v>6.6</v>
      </c>
      <c r="AO499" s="1">
        <v>56.8</v>
      </c>
      <c r="AP499" s="1">
        <v>0.2</v>
      </c>
      <c r="AQ499" s="1">
        <v>0.8</v>
      </c>
      <c r="AR499" s="1">
        <v>1.0</v>
      </c>
    </row>
    <row r="500" ht="15.75" customHeight="1">
      <c r="A500" s="1" t="str">
        <f>CONCATENATE(Scores!A500,"+++",Scores!C500)</f>
        <v>Nevada-Las Vegas+++Oregon State</v>
      </c>
      <c r="B500" s="1">
        <f>Scores!B500</f>
        <v>33</v>
      </c>
      <c r="C500" s="1" t="str">
        <f t="array" ref="C500">XLOOKUP(LEFT(A500,SEARCH("+",A500)-1),'Offensive Data'!$A$2:$A$134,'Offensive Data'!$D$2:$X$134)</f>
        <v>#N/A</v>
      </c>
      <c r="X500" s="1">
        <f t="array" ref="X500:AR500">XLOOKUP(MID(A500, SEARCH("+++", A500) + 3, LEN(A500)),'Defensive Data'!$A$2:$A$134,'Defensive Data'!$D$2:$X$134)</f>
        <v>15.8</v>
      </c>
      <c r="Y500" s="1">
        <v>26.4</v>
      </c>
      <c r="Z500" s="1">
        <v>59.9</v>
      </c>
      <c r="AA500" s="1">
        <v>214.1</v>
      </c>
      <c r="AB500" s="1">
        <v>1.3</v>
      </c>
      <c r="AC500" s="1">
        <v>34.9</v>
      </c>
      <c r="AD500" s="1">
        <v>185.8</v>
      </c>
      <c r="AE500" s="1">
        <v>5.3</v>
      </c>
      <c r="AF500" s="1">
        <v>2.2</v>
      </c>
      <c r="AG500" s="1">
        <v>61.3</v>
      </c>
      <c r="AH500" s="1">
        <v>399.9</v>
      </c>
      <c r="AI500" s="1">
        <v>6.5</v>
      </c>
      <c r="AJ500" s="1">
        <v>9.7</v>
      </c>
      <c r="AK500" s="1">
        <v>9.7</v>
      </c>
      <c r="AL500" s="1">
        <v>1.4</v>
      </c>
      <c r="AM500" s="1">
        <v>20.8</v>
      </c>
      <c r="AN500" s="1">
        <v>5.2</v>
      </c>
      <c r="AO500" s="1">
        <v>49.5</v>
      </c>
      <c r="AP500" s="1">
        <v>0.6</v>
      </c>
      <c r="AQ500" s="1">
        <v>0.4</v>
      </c>
      <c r="AR500" s="1">
        <v>1.0</v>
      </c>
    </row>
    <row r="501" ht="15.75" customHeight="1">
      <c r="A501" s="1" t="str">
        <f>CONCATENATE(Scores!A501,"+++",Scores!C501)</f>
        <v>New Mexico+++Utah State</v>
      </c>
      <c r="B501" s="1">
        <f>Scores!B501</f>
        <v>50</v>
      </c>
      <c r="C501" s="1">
        <f t="array" ref="C501:W501">XLOOKUP(LEFT(A501,SEARCH("+",A501)-1),'Offensive Data'!$A$2:$A$134,'Offensive Data'!$D$2:$X$134)</f>
        <v>18.8</v>
      </c>
      <c r="D501" s="1">
        <v>32.5</v>
      </c>
      <c r="E501" s="1">
        <v>57.9</v>
      </c>
      <c r="F501" s="1">
        <v>230.7</v>
      </c>
      <c r="G501" s="1">
        <v>1.0</v>
      </c>
      <c r="H501" s="1">
        <v>38.0</v>
      </c>
      <c r="I501" s="1">
        <v>253.6</v>
      </c>
      <c r="J501" s="1">
        <v>6.7</v>
      </c>
      <c r="K501" s="1">
        <v>3.1</v>
      </c>
      <c r="L501" s="1">
        <v>70.5</v>
      </c>
      <c r="M501" s="1">
        <v>484.3</v>
      </c>
      <c r="N501" s="1">
        <v>6.9</v>
      </c>
      <c r="O501" s="1">
        <v>10.4</v>
      </c>
      <c r="P501" s="1">
        <v>12.4</v>
      </c>
      <c r="Q501" s="1">
        <v>2.0</v>
      </c>
      <c r="R501" s="1">
        <v>24.8</v>
      </c>
      <c r="S501" s="1">
        <v>9.3</v>
      </c>
      <c r="T501" s="1">
        <v>81.5</v>
      </c>
      <c r="U501" s="1">
        <v>0.6</v>
      </c>
      <c r="V501" s="1">
        <v>1.0</v>
      </c>
      <c r="W501" s="1">
        <v>1.6</v>
      </c>
      <c r="X501" s="1">
        <f t="array" ref="X501:AR501">XLOOKUP(MID(A501, SEARCH("+++", A501) + 3, LEN(A501)),'Defensive Data'!$A$2:$A$134,'Defensive Data'!$D$2:$X$134)</f>
        <v>22.3</v>
      </c>
      <c r="Y501" s="1">
        <v>32.8</v>
      </c>
      <c r="Z501" s="1">
        <v>67.9</v>
      </c>
      <c r="AA501" s="1">
        <v>255.6</v>
      </c>
      <c r="AB501" s="1">
        <v>2.3</v>
      </c>
      <c r="AC501" s="1">
        <v>39.8</v>
      </c>
      <c r="AD501" s="1">
        <v>214.5</v>
      </c>
      <c r="AE501" s="1">
        <v>5.4</v>
      </c>
      <c r="AF501" s="1">
        <v>2.3</v>
      </c>
      <c r="AG501" s="1">
        <v>72.6</v>
      </c>
      <c r="AH501" s="1">
        <v>470.1</v>
      </c>
      <c r="AI501" s="1">
        <v>6.5</v>
      </c>
      <c r="AJ501" s="1">
        <v>12.3</v>
      </c>
      <c r="AK501" s="1">
        <v>9.3</v>
      </c>
      <c r="AL501" s="1">
        <v>1.8</v>
      </c>
      <c r="AM501" s="1">
        <v>23.4</v>
      </c>
      <c r="AN501" s="1">
        <v>7.5</v>
      </c>
      <c r="AO501" s="1">
        <v>59.4</v>
      </c>
      <c r="AP501" s="1">
        <v>0.3</v>
      </c>
      <c r="AQ501" s="1">
        <v>1.1</v>
      </c>
      <c r="AR501" s="1">
        <v>1.3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44</v>
      </c>
      <c r="B1" s="1" t="s">
        <v>45</v>
      </c>
      <c r="C1" s="1" t="s">
        <v>46</v>
      </c>
      <c r="D1" s="1" t="s">
        <v>45</v>
      </c>
    </row>
    <row r="2" ht="15.75" customHeight="1">
      <c r="A2" s="1" t="s">
        <v>47</v>
      </c>
      <c r="B2" s="1">
        <v>24.0</v>
      </c>
      <c r="C2" s="1" t="s">
        <v>48</v>
      </c>
      <c r="D2" s="1">
        <v>21.0</v>
      </c>
    </row>
    <row r="3" ht="15.75" customHeight="1">
      <c r="A3" s="1" t="s">
        <v>49</v>
      </c>
      <c r="B3" s="1">
        <v>35.0</v>
      </c>
      <c r="C3" s="1" t="s">
        <v>50</v>
      </c>
      <c r="D3" s="1">
        <v>31.0</v>
      </c>
      <c r="E3" s="4"/>
    </row>
    <row r="4" ht="15.75" customHeight="1">
      <c r="A4" s="1" t="s">
        <v>51</v>
      </c>
      <c r="B4" s="1">
        <v>29.0</v>
      </c>
      <c r="C4" s="1" t="s">
        <v>52</v>
      </c>
      <c r="D4" s="1">
        <v>24.0</v>
      </c>
    </row>
    <row r="5" ht="15.75" customHeight="1">
      <c r="A5" s="1" t="s">
        <v>53</v>
      </c>
      <c r="B5" s="1">
        <v>35.0</v>
      </c>
      <c r="C5" s="1" t="s">
        <v>54</v>
      </c>
      <c r="D5" s="1">
        <v>14.0</v>
      </c>
    </row>
    <row r="6" ht="15.75" customHeight="1">
      <c r="A6" s="1" t="s">
        <v>55</v>
      </c>
      <c r="B6" s="1">
        <v>41.0</v>
      </c>
      <c r="C6" s="1" t="s">
        <v>56</v>
      </c>
      <c r="D6" s="1">
        <v>3.0</v>
      </c>
    </row>
    <row r="7" ht="15.75" customHeight="1">
      <c r="A7" s="1" t="s">
        <v>57</v>
      </c>
      <c r="B7" s="1">
        <v>70.0</v>
      </c>
      <c r="C7" s="1" t="s">
        <v>58</v>
      </c>
      <c r="D7" s="1">
        <v>0.0</v>
      </c>
    </row>
    <row r="8" ht="15.75" customHeight="1">
      <c r="A8" s="1" t="s">
        <v>59</v>
      </c>
      <c r="B8" s="1">
        <v>41.0</v>
      </c>
      <c r="C8" s="1" t="s">
        <v>60</v>
      </c>
      <c r="D8" s="1">
        <v>17.0</v>
      </c>
    </row>
    <row r="9" ht="15.75" customHeight="1">
      <c r="A9" s="1" t="s">
        <v>61</v>
      </c>
      <c r="B9" s="1">
        <v>30.0</v>
      </c>
      <c r="C9" s="1" t="s">
        <v>62</v>
      </c>
      <c r="D9" s="1">
        <v>13.0</v>
      </c>
    </row>
    <row r="10" ht="15.75" customHeight="1">
      <c r="A10" s="1" t="s">
        <v>63</v>
      </c>
      <c r="B10" s="1">
        <v>57.0</v>
      </c>
      <c r="C10" s="1" t="s">
        <v>64</v>
      </c>
      <c r="D10" s="1">
        <v>3.0</v>
      </c>
    </row>
    <row r="11" ht="15.75" customHeight="1">
      <c r="A11" s="1" t="s">
        <v>65</v>
      </c>
      <c r="B11" s="1">
        <v>66.0</v>
      </c>
      <c r="C11" s="1" t="s">
        <v>66</v>
      </c>
      <c r="D11" s="1">
        <v>10.0</v>
      </c>
    </row>
    <row r="12" ht="15.75" customHeight="1">
      <c r="A12" s="1" t="s">
        <v>67</v>
      </c>
      <c r="B12" s="1">
        <v>55.0</v>
      </c>
      <c r="C12" s="1" t="s">
        <v>68</v>
      </c>
      <c r="D12" s="1">
        <v>27.0</v>
      </c>
    </row>
    <row r="13" ht="15.75" customHeight="1">
      <c r="A13" s="1" t="s">
        <v>69</v>
      </c>
      <c r="B13" s="1">
        <v>31.0</v>
      </c>
      <c r="C13" s="1" t="s">
        <v>70</v>
      </c>
      <c r="D13" s="1">
        <v>26.0</v>
      </c>
    </row>
    <row r="14" ht="15.75" customHeight="1">
      <c r="A14" s="1" t="s">
        <v>71</v>
      </c>
      <c r="B14" s="1">
        <v>45.0</v>
      </c>
      <c r="C14" s="1" t="s">
        <v>72</v>
      </c>
      <c r="D14" s="1">
        <v>0.0</v>
      </c>
    </row>
    <row r="15" ht="15.75" customHeight="1">
      <c r="A15" s="1" t="s">
        <v>73</v>
      </c>
      <c r="B15" s="1">
        <v>48.0</v>
      </c>
      <c r="C15" s="1" t="s">
        <v>74</v>
      </c>
      <c r="D15" s="1">
        <v>3.0</v>
      </c>
    </row>
    <row r="16" ht="15.75" customHeight="1">
      <c r="A16" s="1" t="s">
        <v>75</v>
      </c>
      <c r="B16" s="1">
        <v>30.0</v>
      </c>
      <c r="C16" s="1" t="s">
        <v>76</v>
      </c>
      <c r="D16" s="1">
        <v>14.0</v>
      </c>
    </row>
    <row r="17" ht="15.75" customHeight="1">
      <c r="A17" s="1" t="s">
        <v>77</v>
      </c>
      <c r="B17" s="1">
        <v>51.0</v>
      </c>
      <c r="C17" s="1" t="s">
        <v>78</v>
      </c>
      <c r="D17" s="1">
        <v>0.0</v>
      </c>
    </row>
    <row r="18" ht="15.75" customHeight="1">
      <c r="A18" s="1" t="s">
        <v>79</v>
      </c>
      <c r="B18" s="1">
        <v>19.0</v>
      </c>
      <c r="C18" s="1" t="s">
        <v>80</v>
      </c>
      <c r="D18" s="1">
        <v>17.0</v>
      </c>
    </row>
    <row r="19" ht="15.75" customHeight="1">
      <c r="A19" s="1" t="s">
        <v>81</v>
      </c>
      <c r="B19" s="1">
        <v>38.0</v>
      </c>
      <c r="C19" s="1" t="s">
        <v>82</v>
      </c>
      <c r="D19" s="1">
        <v>21.0</v>
      </c>
    </row>
    <row r="20" ht="15.75" customHeight="1">
      <c r="A20" s="1" t="s">
        <v>83</v>
      </c>
      <c r="B20" s="1">
        <v>44.0</v>
      </c>
      <c r="C20" s="1" t="s">
        <v>84</v>
      </c>
      <c r="D20" s="1">
        <v>7.0</v>
      </c>
    </row>
    <row r="21" ht="15.75" customHeight="1">
      <c r="A21" s="1" t="s">
        <v>85</v>
      </c>
      <c r="B21" s="1">
        <v>42.0</v>
      </c>
      <c r="C21" s="1" t="s">
        <v>86</v>
      </c>
      <c r="D21" s="1">
        <v>24.0</v>
      </c>
    </row>
    <row r="22" ht="15.75" customHeight="1">
      <c r="A22" s="1" t="s">
        <v>87</v>
      </c>
      <c r="B22" s="1">
        <v>49.0</v>
      </c>
      <c r="C22" s="1" t="s">
        <v>88</v>
      </c>
      <c r="D22" s="1">
        <v>10.0</v>
      </c>
    </row>
    <row r="23" ht="15.75" customHeight="1">
      <c r="A23" s="1" t="s">
        <v>89</v>
      </c>
      <c r="B23" s="1">
        <v>52.0</v>
      </c>
      <c r="C23" s="1" t="s">
        <v>90</v>
      </c>
      <c r="D23" s="1">
        <v>0.0</v>
      </c>
    </row>
    <row r="24" ht="15.75" customHeight="1">
      <c r="A24" s="1" t="s">
        <v>91</v>
      </c>
      <c r="B24" s="1">
        <v>62.0</v>
      </c>
      <c r="C24" s="1" t="s">
        <v>92</v>
      </c>
      <c r="D24" s="1">
        <v>28.0</v>
      </c>
    </row>
    <row r="25" ht="15.75" customHeight="1">
      <c r="A25" s="1" t="s">
        <v>93</v>
      </c>
      <c r="B25" s="1">
        <v>49.0</v>
      </c>
      <c r="C25" s="1" t="s">
        <v>94</v>
      </c>
      <c r="D25" s="1">
        <v>0.0</v>
      </c>
    </row>
    <row r="26" ht="15.75" customHeight="1">
      <c r="A26" s="1" t="s">
        <v>95</v>
      </c>
      <c r="B26" s="1">
        <v>45.0</v>
      </c>
      <c r="C26" s="1" t="s">
        <v>96</v>
      </c>
      <c r="D26" s="1">
        <v>13.0</v>
      </c>
    </row>
    <row r="27" ht="15.75" customHeight="1">
      <c r="A27" s="1" t="s">
        <v>97</v>
      </c>
      <c r="B27" s="1">
        <v>42.0</v>
      </c>
      <c r="C27" s="1" t="s">
        <v>98</v>
      </c>
      <c r="D27" s="1">
        <v>7.0</v>
      </c>
    </row>
    <row r="28" ht="15.75" customHeight="1">
      <c r="A28" s="1" t="s">
        <v>99</v>
      </c>
      <c r="B28" s="1">
        <v>26.0</v>
      </c>
      <c r="C28" s="1" t="s">
        <v>100</v>
      </c>
      <c r="D28" s="1">
        <v>3.0</v>
      </c>
    </row>
    <row r="29" ht="15.75" customHeight="1">
      <c r="A29" s="1" t="s">
        <v>101</v>
      </c>
      <c r="B29" s="1">
        <v>16.0</v>
      </c>
      <c r="C29" s="1" t="s">
        <v>102</v>
      </c>
      <c r="D29" s="1">
        <v>10.0</v>
      </c>
    </row>
    <row r="30" ht="15.75" customHeight="1">
      <c r="A30" s="1" t="s">
        <v>103</v>
      </c>
      <c r="B30" s="1">
        <v>51.0</v>
      </c>
      <c r="C30" s="1" t="s">
        <v>104</v>
      </c>
      <c r="D30" s="1">
        <v>3.0</v>
      </c>
    </row>
    <row r="31" ht="15.75" customHeight="1">
      <c r="A31" s="1" t="s">
        <v>105</v>
      </c>
      <c r="B31" s="1">
        <v>34.0</v>
      </c>
      <c r="C31" s="1" t="s">
        <v>106</v>
      </c>
      <c r="D31" s="1">
        <v>27.0</v>
      </c>
    </row>
    <row r="32" ht="15.75" customHeight="1">
      <c r="A32" s="1" t="s">
        <v>107</v>
      </c>
      <c r="B32" s="1">
        <v>28.0</v>
      </c>
      <c r="C32" s="1" t="s">
        <v>108</v>
      </c>
      <c r="D32" s="1">
        <v>14.0</v>
      </c>
    </row>
    <row r="33" ht="15.75" customHeight="1">
      <c r="A33" s="1" t="s">
        <v>109</v>
      </c>
      <c r="B33" s="1">
        <v>21.0</v>
      </c>
      <c r="C33" s="1" t="s">
        <v>110</v>
      </c>
      <c r="D33" s="1">
        <v>6.0</v>
      </c>
    </row>
    <row r="34" ht="15.75" customHeight="1">
      <c r="A34" s="1" t="s">
        <v>111</v>
      </c>
      <c r="B34" s="1">
        <v>63.0</v>
      </c>
      <c r="C34" s="1" t="s">
        <v>112</v>
      </c>
      <c r="D34" s="1">
        <v>0.0</v>
      </c>
    </row>
    <row r="35" ht="15.75" customHeight="1">
      <c r="A35" s="1" t="s">
        <v>113</v>
      </c>
      <c r="B35" s="1">
        <v>38.0</v>
      </c>
      <c r="C35" s="1" t="s">
        <v>114</v>
      </c>
      <c r="D35" s="1">
        <v>10.0</v>
      </c>
    </row>
    <row r="36" ht="15.75" customHeight="1">
      <c r="A36" s="1" t="s">
        <v>115</v>
      </c>
      <c r="B36" s="1">
        <v>61.0</v>
      </c>
      <c r="C36" s="1" t="s">
        <v>50</v>
      </c>
      <c r="D36" s="1">
        <v>39.0</v>
      </c>
    </row>
    <row r="37" ht="15.75" customHeight="1">
      <c r="A37" s="1" t="s">
        <v>116</v>
      </c>
      <c r="B37" s="1">
        <v>48.0</v>
      </c>
      <c r="C37" s="1" t="s">
        <v>117</v>
      </c>
      <c r="D37" s="1">
        <v>7.0</v>
      </c>
    </row>
    <row r="38" ht="15.75" customHeight="1">
      <c r="A38" s="1" t="s">
        <v>118</v>
      </c>
      <c r="B38" s="1">
        <v>34.0</v>
      </c>
      <c r="C38" s="1" t="s">
        <v>119</v>
      </c>
      <c r="D38" s="1">
        <v>31.0</v>
      </c>
    </row>
    <row r="39" ht="15.75" customHeight="1">
      <c r="A39" s="1" t="s">
        <v>120</v>
      </c>
      <c r="B39" s="1">
        <v>73.0</v>
      </c>
      <c r="C39" s="1" t="s">
        <v>121</v>
      </c>
      <c r="D39" s="1">
        <v>3.0</v>
      </c>
    </row>
    <row r="40" ht="15.75" customHeight="1">
      <c r="A40" s="1" t="s">
        <v>122</v>
      </c>
      <c r="B40" s="1">
        <v>45.0</v>
      </c>
      <c r="C40" s="1" t="s">
        <v>123</v>
      </c>
      <c r="D40" s="1">
        <v>3.0</v>
      </c>
    </row>
    <row r="41" ht="15.75" customHeight="1">
      <c r="A41" s="1" t="s">
        <v>124</v>
      </c>
      <c r="B41" s="1">
        <v>56.0</v>
      </c>
      <c r="C41" s="1" t="s">
        <v>125</v>
      </c>
      <c r="D41" s="1">
        <v>45.0</v>
      </c>
    </row>
    <row r="42" ht="15.75" customHeight="1">
      <c r="A42" s="1" t="s">
        <v>126</v>
      </c>
      <c r="B42" s="1">
        <v>41.0</v>
      </c>
      <c r="C42" s="1" t="s">
        <v>127</v>
      </c>
      <c r="D42" s="1">
        <v>13.0</v>
      </c>
    </row>
    <row r="43" ht="15.75" customHeight="1">
      <c r="A43" s="1" t="s">
        <v>128</v>
      </c>
      <c r="B43" s="1">
        <v>31.0</v>
      </c>
      <c r="C43" s="1" t="s">
        <v>129</v>
      </c>
      <c r="D43" s="1">
        <v>13.0</v>
      </c>
    </row>
    <row r="44" ht="15.75" customHeight="1">
      <c r="A44" s="1" t="s">
        <v>130</v>
      </c>
      <c r="B44" s="1">
        <v>38.0</v>
      </c>
      <c r="C44" s="1" t="s">
        <v>131</v>
      </c>
      <c r="D44" s="1">
        <v>20.0</v>
      </c>
    </row>
    <row r="45" ht="15.75" customHeight="1">
      <c r="A45" s="1" t="s">
        <v>132</v>
      </c>
      <c r="B45" s="1">
        <v>42.0</v>
      </c>
      <c r="C45" s="1" t="s">
        <v>133</v>
      </c>
      <c r="D45" s="1">
        <v>3.0</v>
      </c>
    </row>
    <row r="46" ht="15.75" customHeight="1">
      <c r="A46" s="1" t="s">
        <v>134</v>
      </c>
      <c r="B46" s="1">
        <v>28.0</v>
      </c>
      <c r="C46" s="1" t="s">
        <v>135</v>
      </c>
      <c r="D46" s="1">
        <v>14.0</v>
      </c>
    </row>
    <row r="47" ht="15.75" customHeight="1">
      <c r="A47" s="1" t="s">
        <v>136</v>
      </c>
      <c r="B47" s="1">
        <v>34.0</v>
      </c>
      <c r="C47" s="1" t="s">
        <v>137</v>
      </c>
      <c r="D47" s="1">
        <v>3.0</v>
      </c>
    </row>
    <row r="48" ht="15.75" customHeight="1">
      <c r="A48" s="1" t="s">
        <v>47</v>
      </c>
      <c r="B48" s="1">
        <v>35.0</v>
      </c>
      <c r="C48" s="1" t="s">
        <v>138</v>
      </c>
      <c r="D48" s="1">
        <v>12.0</v>
      </c>
    </row>
    <row r="49" ht="15.75" customHeight="1">
      <c r="A49" s="1" t="s">
        <v>139</v>
      </c>
      <c r="B49" s="1">
        <v>31.0</v>
      </c>
      <c r="C49" s="1" t="s">
        <v>140</v>
      </c>
      <c r="D49" s="1">
        <v>7.0</v>
      </c>
    </row>
    <row r="50" ht="15.75" customHeight="1">
      <c r="A50" s="1" t="s">
        <v>141</v>
      </c>
      <c r="B50" s="1">
        <v>40.0</v>
      </c>
      <c r="C50" s="1" t="s">
        <v>142</v>
      </c>
      <c r="D50" s="1">
        <v>0.0</v>
      </c>
    </row>
    <row r="51" ht="15.75" customHeight="1">
      <c r="A51" s="1" t="s">
        <v>143</v>
      </c>
      <c r="B51" s="1">
        <v>21.0</v>
      </c>
      <c r="C51" s="1" t="s">
        <v>144</v>
      </c>
      <c r="D51" s="1">
        <v>3.0</v>
      </c>
    </row>
    <row r="52" ht="15.75" customHeight="1">
      <c r="A52" s="1" t="s">
        <v>145</v>
      </c>
      <c r="B52" s="1">
        <v>30.0</v>
      </c>
      <c r="C52" s="1" t="s">
        <v>146</v>
      </c>
      <c r="D52" s="1">
        <v>7.0</v>
      </c>
    </row>
    <row r="53" ht="15.75" customHeight="1">
      <c r="A53" s="1" t="s">
        <v>147</v>
      </c>
      <c r="B53" s="1">
        <v>41.0</v>
      </c>
      <c r="C53" s="1" t="s">
        <v>148</v>
      </c>
      <c r="D53" s="1">
        <v>6.0</v>
      </c>
    </row>
    <row r="54" ht="15.75" customHeight="1">
      <c r="A54" s="1" t="s">
        <v>149</v>
      </c>
      <c r="B54" s="1">
        <v>31.0</v>
      </c>
      <c r="C54" s="1" t="s">
        <v>150</v>
      </c>
      <c r="D54" s="1">
        <v>0.0</v>
      </c>
    </row>
    <row r="55" ht="15.75" customHeight="1">
      <c r="A55" s="1" t="s">
        <v>151</v>
      </c>
      <c r="B55" s="1">
        <v>41.0</v>
      </c>
      <c r="C55" s="1" t="s">
        <v>152</v>
      </c>
      <c r="D55" s="1">
        <v>24.0</v>
      </c>
    </row>
    <row r="56" ht="15.75" customHeight="1">
      <c r="A56" s="1" t="s">
        <v>153</v>
      </c>
      <c r="B56" s="1">
        <v>40.0</v>
      </c>
      <c r="C56" s="1" t="s">
        <v>154</v>
      </c>
      <c r="D56" s="1">
        <v>10.0</v>
      </c>
    </row>
    <row r="57" ht="15.75" customHeight="1">
      <c r="A57" s="1" t="s">
        <v>155</v>
      </c>
      <c r="B57" s="1">
        <v>25.0</v>
      </c>
      <c r="C57" s="1" t="s">
        <v>156</v>
      </c>
      <c r="D57" s="1">
        <v>17.0</v>
      </c>
    </row>
    <row r="58" ht="15.75" customHeight="1">
      <c r="A58" s="1" t="s">
        <v>157</v>
      </c>
      <c r="B58" s="1">
        <v>62.0</v>
      </c>
      <c r="C58" s="1" t="s">
        <v>158</v>
      </c>
      <c r="D58" s="1">
        <v>0.0</v>
      </c>
    </row>
    <row r="59" ht="15.75" customHeight="1">
      <c r="A59" s="1" t="s">
        <v>159</v>
      </c>
      <c r="B59" s="1">
        <v>45.0</v>
      </c>
      <c r="C59" s="1" t="s">
        <v>160</v>
      </c>
      <c r="D59" s="1">
        <v>3.0</v>
      </c>
    </row>
    <row r="60" ht="15.75" customHeight="1">
      <c r="A60" s="1" t="s">
        <v>161</v>
      </c>
      <c r="B60" s="1">
        <v>50.0</v>
      </c>
      <c r="C60" s="1" t="s">
        <v>162</v>
      </c>
      <c r="D60" s="1">
        <v>7.0</v>
      </c>
    </row>
    <row r="61" ht="15.75" customHeight="1">
      <c r="A61" s="1" t="s">
        <v>163</v>
      </c>
      <c r="B61" s="1">
        <v>40.0</v>
      </c>
      <c r="C61" s="1" t="s">
        <v>164</v>
      </c>
      <c r="D61" s="1">
        <v>0.0</v>
      </c>
    </row>
    <row r="62" ht="15.75" customHeight="1">
      <c r="A62" s="1" t="s">
        <v>165</v>
      </c>
      <c r="B62" s="1">
        <v>41.0</v>
      </c>
      <c r="C62" s="1" t="s">
        <v>166</v>
      </c>
      <c r="D62" s="1">
        <v>17.0</v>
      </c>
    </row>
    <row r="63" ht="15.75" customHeight="1">
      <c r="A63" s="1" t="s">
        <v>167</v>
      </c>
      <c r="B63" s="1">
        <v>30.0</v>
      </c>
      <c r="C63" s="1" t="s">
        <v>168</v>
      </c>
      <c r="D63" s="1">
        <v>10.0</v>
      </c>
    </row>
    <row r="64" ht="15.75" customHeight="1">
      <c r="A64" s="1" t="s">
        <v>169</v>
      </c>
      <c r="B64" s="1">
        <v>32.0</v>
      </c>
      <c r="C64" s="1" t="s">
        <v>170</v>
      </c>
      <c r="D64" s="1">
        <v>25.0</v>
      </c>
    </row>
    <row r="65" ht="15.75" customHeight="1">
      <c r="A65" s="1" t="s">
        <v>171</v>
      </c>
      <c r="B65" s="1">
        <v>76.0</v>
      </c>
      <c r="C65" s="1" t="s">
        <v>172</v>
      </c>
      <c r="D65" s="1">
        <v>0.0</v>
      </c>
    </row>
    <row r="66" ht="15.75" customHeight="1">
      <c r="A66" s="1" t="s">
        <v>173</v>
      </c>
      <c r="B66" s="1">
        <v>56.0</v>
      </c>
      <c r="C66" s="1" t="s">
        <v>174</v>
      </c>
      <c r="D66" s="1">
        <v>7.0</v>
      </c>
    </row>
    <row r="67" ht="15.75" customHeight="1">
      <c r="A67" s="1" t="s">
        <v>175</v>
      </c>
      <c r="B67" s="1">
        <v>49.0</v>
      </c>
      <c r="C67" s="1" t="s">
        <v>176</v>
      </c>
      <c r="D67" s="1">
        <v>21.0</v>
      </c>
    </row>
    <row r="68" ht="15.75" customHeight="1">
      <c r="A68" s="1" t="s">
        <v>177</v>
      </c>
      <c r="B68" s="1">
        <v>40.0</v>
      </c>
      <c r="C68" s="1" t="s">
        <v>178</v>
      </c>
      <c r="D68" s="1">
        <v>7.0</v>
      </c>
    </row>
    <row r="69" ht="15.75" customHeight="1">
      <c r="A69" s="1" t="s">
        <v>52</v>
      </c>
      <c r="B69" s="1">
        <v>28.0</v>
      </c>
      <c r="C69" s="1" t="s">
        <v>179</v>
      </c>
      <c r="D69" s="1">
        <v>26.0</v>
      </c>
    </row>
    <row r="70" ht="15.75" customHeight="1">
      <c r="A70" s="1" t="s">
        <v>180</v>
      </c>
      <c r="B70" s="1">
        <v>27.0</v>
      </c>
      <c r="C70" s="1" t="s">
        <v>181</v>
      </c>
      <c r="D70" s="1">
        <v>7.0</v>
      </c>
    </row>
    <row r="71" ht="15.75" customHeight="1">
      <c r="A71" s="1" t="s">
        <v>182</v>
      </c>
      <c r="B71" s="1">
        <v>23.0</v>
      </c>
      <c r="C71" s="1" t="s">
        <v>183</v>
      </c>
      <c r="D71" s="1">
        <v>16.0</v>
      </c>
    </row>
    <row r="72" ht="15.75" customHeight="1">
      <c r="A72" s="1" t="s">
        <v>184</v>
      </c>
      <c r="B72" s="1">
        <v>52.0</v>
      </c>
      <c r="C72" s="1" t="s">
        <v>185</v>
      </c>
      <c r="D72" s="1">
        <v>38.0</v>
      </c>
    </row>
    <row r="73" ht="15.75" customHeight="1">
      <c r="A73" s="1" t="s">
        <v>186</v>
      </c>
      <c r="B73" s="1">
        <v>54.0</v>
      </c>
      <c r="C73" s="1" t="s">
        <v>187</v>
      </c>
      <c r="D73" s="1">
        <v>15.0</v>
      </c>
    </row>
    <row r="74" ht="15.75" customHeight="1">
      <c r="A74" s="1" t="s">
        <v>188</v>
      </c>
      <c r="B74" s="1">
        <v>13.0</v>
      </c>
      <c r="C74" s="1" t="s">
        <v>189</v>
      </c>
      <c r="D74" s="1">
        <v>6.0</v>
      </c>
    </row>
    <row r="75" ht="15.75" customHeight="1">
      <c r="A75" s="1" t="s">
        <v>190</v>
      </c>
      <c r="B75" s="1">
        <v>23.0</v>
      </c>
      <c r="C75" s="1" t="s">
        <v>191</v>
      </c>
      <c r="D75" s="1">
        <v>13.0</v>
      </c>
    </row>
    <row r="76" ht="15.75" customHeight="1">
      <c r="A76" s="1" t="s">
        <v>192</v>
      </c>
      <c r="B76" s="1">
        <v>52.0</v>
      </c>
      <c r="C76" s="1" t="s">
        <v>193</v>
      </c>
      <c r="D76" s="1">
        <v>6.0</v>
      </c>
    </row>
    <row r="77" ht="15.75" customHeight="1">
      <c r="A77" s="1" t="s">
        <v>194</v>
      </c>
      <c r="B77" s="1">
        <v>44.0</v>
      </c>
      <c r="C77" s="1" t="s">
        <v>195</v>
      </c>
      <c r="D77" s="1">
        <v>20.0</v>
      </c>
    </row>
    <row r="78" ht="15.75" customHeight="1">
      <c r="A78" s="1" t="s">
        <v>196</v>
      </c>
      <c r="B78" s="1">
        <v>24.0</v>
      </c>
      <c r="C78" s="1" t="s">
        <v>197</v>
      </c>
      <c r="D78" s="1">
        <v>14.0</v>
      </c>
    </row>
    <row r="79" ht="15.75" customHeight="1">
      <c r="A79" s="1" t="s">
        <v>198</v>
      </c>
      <c r="B79" s="1">
        <v>38.0</v>
      </c>
      <c r="C79" s="1" t="s">
        <v>199</v>
      </c>
      <c r="D79" s="1">
        <v>15.0</v>
      </c>
    </row>
    <row r="80" ht="15.75" customHeight="1">
      <c r="A80" s="1" t="s">
        <v>200</v>
      </c>
      <c r="B80" s="1">
        <v>34.0</v>
      </c>
      <c r="C80" s="1" t="s">
        <v>201</v>
      </c>
      <c r="D80" s="1">
        <v>12.0</v>
      </c>
    </row>
    <row r="81" ht="15.75" customHeight="1">
      <c r="A81" s="1" t="s">
        <v>202</v>
      </c>
      <c r="B81" s="1">
        <v>55.0</v>
      </c>
      <c r="C81" s="1" t="s">
        <v>203</v>
      </c>
      <c r="D81" s="1">
        <v>24.0</v>
      </c>
    </row>
    <row r="82" ht="15.75" customHeight="1">
      <c r="A82" s="1" t="s">
        <v>204</v>
      </c>
      <c r="B82" s="1">
        <v>49.0</v>
      </c>
      <c r="C82" s="1" t="s">
        <v>205</v>
      </c>
      <c r="D82" s="1">
        <v>0.0</v>
      </c>
    </row>
    <row r="83" ht="15.75" customHeight="1">
      <c r="A83" s="1" t="s">
        <v>206</v>
      </c>
      <c r="B83" s="1">
        <v>34.0</v>
      </c>
      <c r="C83" s="1" t="s">
        <v>207</v>
      </c>
      <c r="D83" s="1">
        <v>14.0</v>
      </c>
    </row>
    <row r="84" ht="15.75" customHeight="1">
      <c r="A84" s="1" t="s">
        <v>208</v>
      </c>
      <c r="B84" s="1">
        <v>45.0</v>
      </c>
      <c r="C84" s="1" t="s">
        <v>209</v>
      </c>
      <c r="D84" s="1">
        <v>14.0</v>
      </c>
    </row>
    <row r="85" ht="15.75" customHeight="1">
      <c r="A85" s="1" t="s">
        <v>210</v>
      </c>
      <c r="B85" s="1">
        <v>23.0</v>
      </c>
      <c r="C85" s="1" t="s">
        <v>211</v>
      </c>
      <c r="D85" s="1">
        <v>19.0</v>
      </c>
    </row>
    <row r="86" ht="15.75" customHeight="1">
      <c r="A86" s="1" t="s">
        <v>212</v>
      </c>
      <c r="B86" s="1">
        <v>48.0</v>
      </c>
      <c r="C86" s="1" t="s">
        <v>213</v>
      </c>
      <c r="D86" s="1">
        <v>3.0</v>
      </c>
    </row>
    <row r="87" ht="15.75" customHeight="1">
      <c r="A87" s="1" t="s">
        <v>51</v>
      </c>
      <c r="B87" s="1">
        <v>59.0</v>
      </c>
      <c r="C87" s="1" t="s">
        <v>214</v>
      </c>
      <c r="D87" s="1">
        <v>7.0</v>
      </c>
    </row>
    <row r="88" ht="15.75" customHeight="1">
      <c r="A88" s="1" t="s">
        <v>215</v>
      </c>
      <c r="B88" s="1">
        <v>38.0</v>
      </c>
      <c r="C88" s="1" t="s">
        <v>216</v>
      </c>
      <c r="D88" s="1">
        <v>22.0</v>
      </c>
    </row>
    <row r="89" ht="15.75" customHeight="1">
      <c r="A89" s="1" t="s">
        <v>217</v>
      </c>
      <c r="B89" s="1">
        <v>69.0</v>
      </c>
      <c r="C89" s="1" t="s">
        <v>218</v>
      </c>
      <c r="D89" s="1">
        <v>3.0</v>
      </c>
    </row>
    <row r="90" ht="15.75" customHeight="1">
      <c r="A90" s="1" t="s">
        <v>219</v>
      </c>
      <c r="B90" s="1">
        <v>52.0</v>
      </c>
      <c r="C90" s="1" t="s">
        <v>220</v>
      </c>
      <c r="D90" s="1">
        <v>0.0</v>
      </c>
    </row>
    <row r="91" ht="15.75" customHeight="1">
      <c r="A91" s="1" t="s">
        <v>221</v>
      </c>
      <c r="B91" s="1">
        <v>34.0</v>
      </c>
      <c r="C91" s="1" t="s">
        <v>222</v>
      </c>
      <c r="D91" s="1">
        <v>27.0</v>
      </c>
    </row>
    <row r="92" ht="15.75" customHeight="1">
      <c r="A92" s="1" t="s">
        <v>223</v>
      </c>
      <c r="B92" s="1">
        <v>52.0</v>
      </c>
      <c r="C92" s="1" t="s">
        <v>224</v>
      </c>
      <c r="D92" s="1">
        <v>51.0</v>
      </c>
    </row>
    <row r="93" ht="15.75" customHeight="1">
      <c r="A93" s="1" t="s">
        <v>225</v>
      </c>
      <c r="B93" s="1">
        <v>28.0</v>
      </c>
      <c r="C93" s="1" t="s">
        <v>226</v>
      </c>
      <c r="D93" s="1">
        <v>16.0</v>
      </c>
    </row>
    <row r="94" ht="15.75" customHeight="1">
      <c r="A94" s="1" t="s">
        <v>227</v>
      </c>
      <c r="B94" s="1">
        <v>16.0</v>
      </c>
      <c r="C94" s="1" t="s">
        <v>53</v>
      </c>
      <c r="D94" s="1">
        <v>13.0</v>
      </c>
    </row>
    <row r="95" ht="15.75" customHeight="1">
      <c r="A95" s="1" t="s">
        <v>228</v>
      </c>
      <c r="B95" s="1">
        <v>36.0</v>
      </c>
      <c r="C95" s="1" t="s">
        <v>229</v>
      </c>
      <c r="D95" s="1">
        <v>14.0</v>
      </c>
    </row>
    <row r="96" ht="15.75" customHeight="1">
      <c r="A96" s="1" t="s">
        <v>230</v>
      </c>
      <c r="B96" s="1">
        <v>34.0</v>
      </c>
      <c r="C96" s="1" t="s">
        <v>231</v>
      </c>
      <c r="D96" s="1">
        <v>27.0</v>
      </c>
    </row>
    <row r="97" ht="15.75" customHeight="1">
      <c r="A97" s="1" t="s">
        <v>232</v>
      </c>
      <c r="B97" s="1">
        <v>34.0</v>
      </c>
      <c r="C97" s="1" t="s">
        <v>233</v>
      </c>
      <c r="D97" s="1">
        <v>13.0</v>
      </c>
    </row>
    <row r="98" ht="15.75" customHeight="1">
      <c r="A98" s="1" t="s">
        <v>234</v>
      </c>
      <c r="B98" s="1">
        <v>35.0</v>
      </c>
      <c r="C98" s="1" t="s">
        <v>235</v>
      </c>
      <c r="D98" s="1">
        <v>3.0</v>
      </c>
    </row>
    <row r="99" ht="15.75" customHeight="1">
      <c r="A99" s="1" t="s">
        <v>236</v>
      </c>
      <c r="B99" s="1">
        <v>70.0</v>
      </c>
      <c r="C99" s="1" t="s">
        <v>237</v>
      </c>
      <c r="D99" s="1">
        <v>30.0</v>
      </c>
    </row>
    <row r="100" ht="15.75" customHeight="1">
      <c r="A100" s="1" t="s">
        <v>238</v>
      </c>
      <c r="B100" s="1">
        <v>27.0</v>
      </c>
      <c r="C100" s="1" t="s">
        <v>239</v>
      </c>
      <c r="D100" s="1">
        <v>20.0</v>
      </c>
    </row>
    <row r="101" ht="15.75" customHeight="1">
      <c r="A101" s="1" t="s">
        <v>240</v>
      </c>
      <c r="B101" s="1">
        <v>28.0</v>
      </c>
      <c r="C101" s="1" t="s">
        <v>48</v>
      </c>
      <c r="D101" s="1">
        <v>13.0</v>
      </c>
    </row>
    <row r="102" ht="15.75" customHeight="1">
      <c r="A102" s="1" t="s">
        <v>126</v>
      </c>
      <c r="B102" s="1">
        <v>18.0</v>
      </c>
      <c r="C102" s="1" t="s">
        <v>51</v>
      </c>
      <c r="D102" s="1">
        <v>15.0</v>
      </c>
    </row>
    <row r="103" ht="15.75" customHeight="1">
      <c r="A103" s="1" t="s">
        <v>99</v>
      </c>
      <c r="B103" s="1">
        <v>26.0</v>
      </c>
      <c r="C103" s="1" t="s">
        <v>188</v>
      </c>
      <c r="D103" s="1">
        <v>20.0</v>
      </c>
    </row>
    <row r="104" ht="15.75" customHeight="1">
      <c r="A104" s="1" t="s">
        <v>139</v>
      </c>
      <c r="B104" s="1">
        <v>77.0</v>
      </c>
      <c r="C104" s="1" t="s">
        <v>187</v>
      </c>
      <c r="D104" s="1">
        <v>3.0</v>
      </c>
    </row>
    <row r="105" ht="15.75" customHeight="1">
      <c r="A105" s="1" t="s">
        <v>111</v>
      </c>
      <c r="B105" s="1">
        <v>42.0</v>
      </c>
      <c r="C105" s="1" t="s">
        <v>212</v>
      </c>
      <c r="D105" s="1">
        <v>16.0</v>
      </c>
    </row>
    <row r="106" ht="15.75" customHeight="1">
      <c r="A106" s="1" t="s">
        <v>115</v>
      </c>
      <c r="B106" s="1">
        <v>22.0</v>
      </c>
      <c r="C106" s="1" t="s">
        <v>241</v>
      </c>
      <c r="D106" s="1">
        <v>10.0</v>
      </c>
    </row>
    <row r="107" ht="15.75" customHeight="1">
      <c r="A107" s="1" t="s">
        <v>116</v>
      </c>
      <c r="B107" s="1">
        <v>30.0</v>
      </c>
      <c r="C107" s="1" t="s">
        <v>173</v>
      </c>
      <c r="D107" s="1">
        <v>23.0</v>
      </c>
    </row>
    <row r="108" ht="15.75" customHeight="1">
      <c r="A108" s="1" t="s">
        <v>118</v>
      </c>
      <c r="B108" s="1">
        <v>28.0</v>
      </c>
      <c r="C108" s="1" t="s">
        <v>91</v>
      </c>
      <c r="D108" s="1">
        <v>24.0</v>
      </c>
    </row>
    <row r="109" ht="15.75" customHeight="1">
      <c r="A109" s="1" t="s">
        <v>97</v>
      </c>
      <c r="B109" s="1">
        <v>24.0</v>
      </c>
      <c r="C109" s="1" t="s">
        <v>102</v>
      </c>
      <c r="D109" s="1">
        <v>7.0</v>
      </c>
    </row>
    <row r="110" ht="15.75" customHeight="1">
      <c r="A110" s="1" t="s">
        <v>242</v>
      </c>
      <c r="B110" s="1">
        <v>42.0</v>
      </c>
      <c r="C110" s="1" t="s">
        <v>243</v>
      </c>
      <c r="D110" s="1">
        <v>34.0</v>
      </c>
    </row>
    <row r="111" ht="15.75" customHeight="1">
      <c r="A111" s="1" t="s">
        <v>240</v>
      </c>
      <c r="B111" s="1">
        <v>56.0</v>
      </c>
      <c r="C111" s="1" t="s">
        <v>88</v>
      </c>
      <c r="D111" s="1">
        <v>0.0</v>
      </c>
    </row>
    <row r="112" ht="15.75" customHeight="1">
      <c r="A112" s="1" t="s">
        <v>128</v>
      </c>
      <c r="B112" s="1">
        <v>21.0</v>
      </c>
      <c r="C112" s="1" t="s">
        <v>120</v>
      </c>
      <c r="D112" s="1">
        <v>14.0</v>
      </c>
    </row>
    <row r="113" ht="15.75" customHeight="1">
      <c r="A113" s="1" t="s">
        <v>63</v>
      </c>
      <c r="B113" s="1">
        <v>45.0</v>
      </c>
      <c r="C113" s="1" t="s">
        <v>206</v>
      </c>
      <c r="D113" s="1">
        <v>14.0</v>
      </c>
    </row>
    <row r="114" ht="15.75" customHeight="1">
      <c r="A114" s="1" t="s">
        <v>137</v>
      </c>
      <c r="B114" s="1">
        <v>66.0</v>
      </c>
      <c r="C114" s="1" t="s">
        <v>113</v>
      </c>
      <c r="D114" s="1">
        <v>20.0</v>
      </c>
    </row>
    <row r="115" ht="15.75" customHeight="1">
      <c r="A115" s="1" t="s">
        <v>67</v>
      </c>
      <c r="B115" s="1">
        <v>40.0</v>
      </c>
      <c r="C115" s="1" t="s">
        <v>244</v>
      </c>
      <c r="D115" s="1">
        <v>21.0</v>
      </c>
    </row>
    <row r="116" ht="15.75" customHeight="1">
      <c r="A116" s="1" t="s">
        <v>220</v>
      </c>
      <c r="B116" s="1">
        <v>38.0</v>
      </c>
      <c r="C116" s="1" t="s">
        <v>245</v>
      </c>
      <c r="D116" s="1">
        <v>17.0</v>
      </c>
    </row>
    <row r="117" ht="15.75" customHeight="1">
      <c r="A117" s="1" t="s">
        <v>162</v>
      </c>
      <c r="B117" s="1">
        <v>63.0</v>
      </c>
      <c r="C117" s="1" t="s">
        <v>110</v>
      </c>
      <c r="D117" s="1">
        <v>17.0</v>
      </c>
    </row>
    <row r="118" ht="15.75" customHeight="1">
      <c r="A118" s="1" t="s">
        <v>132</v>
      </c>
      <c r="B118" s="1">
        <v>20.0</v>
      </c>
      <c r="C118" s="1" t="s">
        <v>211</v>
      </c>
      <c r="D118" s="1">
        <v>14.0</v>
      </c>
    </row>
    <row r="119" ht="15.75" customHeight="1">
      <c r="A119" s="1" t="s">
        <v>166</v>
      </c>
      <c r="B119" s="1">
        <v>45.0</v>
      </c>
      <c r="C119" s="1" t="s">
        <v>246</v>
      </c>
      <c r="D119" s="1">
        <v>7.0</v>
      </c>
    </row>
    <row r="120" ht="15.75" customHeight="1">
      <c r="A120" s="1" t="s">
        <v>140</v>
      </c>
      <c r="B120" s="1">
        <v>52.0</v>
      </c>
      <c r="C120" s="1" t="s">
        <v>65</v>
      </c>
      <c r="D120" s="1">
        <v>16.0</v>
      </c>
    </row>
    <row r="121" ht="15.75" customHeight="1">
      <c r="A121" s="1" t="s">
        <v>168</v>
      </c>
      <c r="B121" s="1">
        <v>46.0</v>
      </c>
      <c r="C121" s="1" t="s">
        <v>86</v>
      </c>
      <c r="D121" s="1">
        <v>30.0</v>
      </c>
    </row>
    <row r="122" ht="15.75" customHeight="1">
      <c r="A122" s="1" t="s">
        <v>136</v>
      </c>
      <c r="B122" s="1">
        <v>48.0</v>
      </c>
      <c r="C122" s="1" t="s">
        <v>170</v>
      </c>
      <c r="D122" s="1">
        <v>3.0</v>
      </c>
    </row>
    <row r="123" ht="15.75" customHeight="1">
      <c r="A123" s="1" t="s">
        <v>125</v>
      </c>
      <c r="B123" s="1">
        <v>20.0</v>
      </c>
      <c r="C123" s="1" t="s">
        <v>52</v>
      </c>
      <c r="D123" s="1">
        <v>17.0</v>
      </c>
    </row>
    <row r="124" ht="15.75" customHeight="1">
      <c r="A124" s="1" t="s">
        <v>138</v>
      </c>
      <c r="B124" s="1">
        <v>24.0</v>
      </c>
      <c r="C124" s="1" t="s">
        <v>218</v>
      </c>
      <c r="D124" s="1">
        <v>21.0</v>
      </c>
    </row>
    <row r="125" ht="15.75" customHeight="1">
      <c r="A125" s="1" t="s">
        <v>197</v>
      </c>
      <c r="B125" s="1">
        <v>17.0</v>
      </c>
      <c r="C125" s="1" t="s">
        <v>117</v>
      </c>
      <c r="D125" s="1">
        <v>13.0</v>
      </c>
    </row>
    <row r="126" ht="15.75" customHeight="1">
      <c r="A126" s="1" t="s">
        <v>71</v>
      </c>
      <c r="B126" s="1">
        <v>23.0</v>
      </c>
      <c r="C126" s="1" t="s">
        <v>73</v>
      </c>
      <c r="D126" s="1">
        <v>17.0</v>
      </c>
    </row>
    <row r="127" ht="15.75" customHeight="1">
      <c r="A127" s="1" t="s">
        <v>143</v>
      </c>
      <c r="B127" s="1">
        <v>20.0</v>
      </c>
      <c r="C127" s="1" t="s">
        <v>141</v>
      </c>
      <c r="D127" s="1">
        <v>19.0</v>
      </c>
    </row>
    <row r="128" ht="15.75" customHeight="1">
      <c r="A128" s="1" t="s">
        <v>145</v>
      </c>
      <c r="B128" s="1">
        <v>13.0</v>
      </c>
      <c r="C128" s="1" t="s">
        <v>247</v>
      </c>
      <c r="D128" s="1">
        <v>6.0</v>
      </c>
    </row>
    <row r="129" ht="15.75" customHeight="1">
      <c r="A129" s="1" t="s">
        <v>147</v>
      </c>
      <c r="B129" s="1">
        <v>34.0</v>
      </c>
      <c r="C129" s="1" t="s">
        <v>89</v>
      </c>
      <c r="D129" s="1">
        <v>27.0</v>
      </c>
    </row>
    <row r="130" ht="15.75" customHeight="1">
      <c r="A130" s="1" t="s">
        <v>151</v>
      </c>
      <c r="B130" s="1">
        <v>30.0</v>
      </c>
      <c r="C130" s="1" t="s">
        <v>182</v>
      </c>
      <c r="D130" s="1">
        <v>24.0</v>
      </c>
    </row>
    <row r="131" ht="15.75" customHeight="1">
      <c r="A131" s="1" t="s">
        <v>153</v>
      </c>
      <c r="B131" s="1">
        <v>34.0</v>
      </c>
      <c r="C131" s="1" t="s">
        <v>226</v>
      </c>
      <c r="D131" s="1">
        <v>10.0</v>
      </c>
    </row>
    <row r="132" ht="15.75" customHeight="1">
      <c r="A132" s="1" t="s">
        <v>239</v>
      </c>
      <c r="B132" s="1">
        <v>44.0</v>
      </c>
      <c r="C132" s="1" t="s">
        <v>156</v>
      </c>
      <c r="D132" s="1">
        <v>21.0</v>
      </c>
    </row>
    <row r="133" ht="15.75" customHeight="1">
      <c r="A133" s="1" t="s">
        <v>75</v>
      </c>
      <c r="B133" s="1">
        <v>32.0</v>
      </c>
      <c r="C133" s="1" t="s">
        <v>55</v>
      </c>
      <c r="D133" s="1">
        <v>6.0</v>
      </c>
    </row>
    <row r="134" ht="15.75" customHeight="1">
      <c r="A134" s="1" t="s">
        <v>157</v>
      </c>
      <c r="B134" s="1">
        <v>49.0</v>
      </c>
      <c r="C134" s="1" t="s">
        <v>68</v>
      </c>
      <c r="D134" s="1">
        <v>14.0</v>
      </c>
    </row>
    <row r="135" ht="15.75" customHeight="1">
      <c r="A135" s="1" t="s">
        <v>163</v>
      </c>
      <c r="B135" s="1">
        <v>38.0</v>
      </c>
      <c r="C135" s="1" t="s">
        <v>179</v>
      </c>
      <c r="D135" s="1">
        <v>17.0</v>
      </c>
    </row>
    <row r="136" ht="15.75" customHeight="1">
      <c r="A136" s="1" t="s">
        <v>165</v>
      </c>
      <c r="B136" s="1">
        <v>56.0</v>
      </c>
      <c r="C136" s="1" t="s">
        <v>248</v>
      </c>
      <c r="D136" s="1">
        <v>9.0</v>
      </c>
    </row>
    <row r="137" ht="15.75" customHeight="1">
      <c r="A137" s="1" t="s">
        <v>101</v>
      </c>
      <c r="B137" s="1">
        <v>27.0</v>
      </c>
      <c r="C137" s="1" t="s">
        <v>161</v>
      </c>
      <c r="D137" s="1">
        <v>24.0</v>
      </c>
    </row>
    <row r="138" ht="15.75" customHeight="1">
      <c r="A138" s="1" t="s">
        <v>80</v>
      </c>
      <c r="B138" s="1">
        <v>48.0</v>
      </c>
      <c r="C138" s="1" t="s">
        <v>249</v>
      </c>
      <c r="D138" s="1">
        <v>0.0</v>
      </c>
    </row>
    <row r="139" ht="15.75" customHeight="1">
      <c r="A139" s="1" t="s">
        <v>171</v>
      </c>
      <c r="B139" s="1">
        <v>52.0</v>
      </c>
      <c r="C139" s="1" t="s">
        <v>169</v>
      </c>
      <c r="D139" s="1">
        <v>3.0</v>
      </c>
    </row>
    <row r="140" ht="15.75" customHeight="1">
      <c r="A140" s="1" t="s">
        <v>77</v>
      </c>
      <c r="B140" s="1">
        <v>38.0</v>
      </c>
      <c r="C140" s="1" t="s">
        <v>61</v>
      </c>
      <c r="D140" s="1">
        <v>0.0</v>
      </c>
    </row>
    <row r="141" ht="15.75" customHeight="1">
      <c r="A141" s="1" t="s">
        <v>175</v>
      </c>
      <c r="B141" s="1">
        <v>38.0</v>
      </c>
      <c r="C141" s="1" t="s">
        <v>104</v>
      </c>
      <c r="D141" s="1">
        <v>11.0</v>
      </c>
    </row>
    <row r="142" ht="15.75" customHeight="1">
      <c r="A142" s="1" t="s">
        <v>177</v>
      </c>
      <c r="B142" s="1">
        <v>28.0</v>
      </c>
      <c r="C142" s="1" t="s">
        <v>69</v>
      </c>
      <c r="D142" s="1">
        <v>10.0</v>
      </c>
    </row>
    <row r="143" ht="15.75" customHeight="1">
      <c r="A143" s="1" t="s">
        <v>180</v>
      </c>
      <c r="B143" s="1">
        <v>72.0</v>
      </c>
      <c r="C143" s="1" t="s">
        <v>250</v>
      </c>
      <c r="D143" s="1">
        <v>14.0</v>
      </c>
    </row>
    <row r="144" ht="15.75" customHeight="1">
      <c r="A144" s="1" t="s">
        <v>79</v>
      </c>
      <c r="B144" s="1">
        <v>38.0</v>
      </c>
      <c r="C144" s="1" t="s">
        <v>146</v>
      </c>
      <c r="D144" s="1">
        <v>20.0</v>
      </c>
    </row>
    <row r="145" ht="15.75" customHeight="1">
      <c r="A145" s="1" t="s">
        <v>184</v>
      </c>
      <c r="B145" s="1">
        <v>35.0</v>
      </c>
      <c r="C145" s="1" t="s">
        <v>251</v>
      </c>
      <c r="D145" s="1">
        <v>20.0</v>
      </c>
    </row>
    <row r="146" ht="15.75" customHeight="1">
      <c r="A146" s="1" t="s">
        <v>186</v>
      </c>
      <c r="B146" s="1">
        <v>16.0</v>
      </c>
      <c r="C146" s="1" t="s">
        <v>190</v>
      </c>
      <c r="D146" s="1">
        <v>14.0</v>
      </c>
    </row>
    <row r="147" ht="15.75" customHeight="1">
      <c r="A147" s="1" t="s">
        <v>216</v>
      </c>
      <c r="B147" s="1">
        <v>27.0</v>
      </c>
      <c r="C147" s="1" t="s">
        <v>185</v>
      </c>
      <c r="D147" s="1">
        <v>20.0</v>
      </c>
    </row>
    <row r="148" ht="15.75" customHeight="1">
      <c r="A148" s="1" t="s">
        <v>192</v>
      </c>
      <c r="B148" s="1">
        <v>56.0</v>
      </c>
      <c r="C148" s="1" t="s">
        <v>108</v>
      </c>
      <c r="D148" s="1">
        <v>0.0</v>
      </c>
    </row>
    <row r="149" ht="15.75" customHeight="1">
      <c r="A149" s="1" t="s">
        <v>103</v>
      </c>
      <c r="B149" s="1">
        <v>16.0</v>
      </c>
      <c r="C149" s="1" t="s">
        <v>181</v>
      </c>
      <c r="D149" s="1">
        <v>12.0</v>
      </c>
    </row>
    <row r="150" ht="15.75" customHeight="1">
      <c r="A150" s="1" t="s">
        <v>194</v>
      </c>
      <c r="B150" s="1">
        <v>39.0</v>
      </c>
      <c r="C150" s="1" t="s">
        <v>57</v>
      </c>
      <c r="D150" s="1">
        <v>31.0</v>
      </c>
    </row>
    <row r="151" ht="15.75" customHeight="1">
      <c r="A151" s="1" t="s">
        <v>196</v>
      </c>
      <c r="B151" s="1">
        <v>37.0</v>
      </c>
      <c r="C151" s="1" t="s">
        <v>124</v>
      </c>
      <c r="D151" s="1">
        <v>34.0</v>
      </c>
    </row>
    <row r="152" ht="15.75" customHeight="1">
      <c r="A152" s="1" t="s">
        <v>198</v>
      </c>
      <c r="B152" s="1">
        <v>21.0</v>
      </c>
      <c r="C152" s="1" t="s">
        <v>208</v>
      </c>
      <c r="D152" s="1">
        <v>0.0</v>
      </c>
    </row>
    <row r="153" ht="15.75" customHeight="1">
      <c r="A153" s="1" t="s">
        <v>200</v>
      </c>
      <c r="B153" s="1">
        <v>34.0</v>
      </c>
      <c r="C153" s="1" t="s">
        <v>59</v>
      </c>
      <c r="D153" s="1">
        <v>27.0</v>
      </c>
    </row>
    <row r="154" ht="15.75" customHeight="1">
      <c r="A154" s="1" t="s">
        <v>202</v>
      </c>
      <c r="B154" s="1">
        <v>28.0</v>
      </c>
      <c r="C154" s="1" t="s">
        <v>130</v>
      </c>
      <c r="D154" s="1">
        <v>27.0</v>
      </c>
    </row>
    <row r="155" ht="15.75" customHeight="1">
      <c r="A155" s="1" t="s">
        <v>207</v>
      </c>
      <c r="B155" s="1">
        <v>69.0</v>
      </c>
      <c r="C155" s="1" t="s">
        <v>252</v>
      </c>
      <c r="D155" s="1">
        <v>7.0</v>
      </c>
    </row>
    <row r="156" ht="15.75" customHeight="1">
      <c r="A156" s="1" t="s">
        <v>83</v>
      </c>
      <c r="B156" s="1">
        <v>49.0</v>
      </c>
      <c r="C156" s="1" t="s">
        <v>193</v>
      </c>
      <c r="D156" s="1">
        <v>17.0</v>
      </c>
    </row>
    <row r="157" ht="15.75" customHeight="1">
      <c r="A157" s="1" t="s">
        <v>85</v>
      </c>
      <c r="B157" s="1">
        <v>17.0</v>
      </c>
      <c r="C157" s="1" t="s">
        <v>109</v>
      </c>
      <c r="D157" s="1">
        <v>7.0</v>
      </c>
    </row>
    <row r="158" ht="15.75" customHeight="1">
      <c r="A158" s="1" t="s">
        <v>210</v>
      </c>
      <c r="B158" s="1">
        <v>31.0</v>
      </c>
      <c r="C158" s="1" t="s">
        <v>149</v>
      </c>
      <c r="D158" s="1">
        <v>6.0</v>
      </c>
    </row>
    <row r="159" ht="15.75" customHeight="1">
      <c r="A159" s="1" t="s">
        <v>238</v>
      </c>
      <c r="B159" s="1">
        <v>48.0</v>
      </c>
      <c r="C159" s="1" t="s">
        <v>228</v>
      </c>
      <c r="D159" s="1">
        <v>0.0</v>
      </c>
    </row>
    <row r="160" ht="15.75" customHeight="1">
      <c r="A160" s="1" t="s">
        <v>150</v>
      </c>
      <c r="B160" s="1">
        <v>35.0</v>
      </c>
      <c r="C160" s="1" t="s">
        <v>90</v>
      </c>
      <c r="D160" s="1">
        <v>10.0</v>
      </c>
    </row>
    <row r="161" ht="15.75" customHeight="1">
      <c r="A161" s="1" t="s">
        <v>94</v>
      </c>
      <c r="B161" s="1">
        <v>27.0</v>
      </c>
      <c r="C161" s="1" t="s">
        <v>178</v>
      </c>
      <c r="D161" s="1">
        <v>24.0</v>
      </c>
    </row>
    <row r="162" ht="15.75" customHeight="1">
      <c r="A162" s="1" t="s">
        <v>253</v>
      </c>
      <c r="B162" s="1">
        <v>23.0</v>
      </c>
      <c r="C162" s="1" t="s">
        <v>203</v>
      </c>
      <c r="D162" s="1">
        <v>17.0</v>
      </c>
    </row>
    <row r="163" ht="15.75" customHeight="1">
      <c r="A163" s="1" t="s">
        <v>106</v>
      </c>
      <c r="B163" s="1">
        <v>41.0</v>
      </c>
      <c r="C163" s="1" t="s">
        <v>254</v>
      </c>
      <c r="D163" s="1">
        <v>7.0</v>
      </c>
    </row>
    <row r="164" ht="15.75" customHeight="1">
      <c r="A164" s="1" t="s">
        <v>215</v>
      </c>
      <c r="B164" s="1">
        <v>31.0</v>
      </c>
      <c r="C164" s="1" t="s">
        <v>47</v>
      </c>
      <c r="D164" s="1">
        <v>28.0</v>
      </c>
    </row>
    <row r="165" ht="15.75" customHeight="1">
      <c r="A165" s="1" t="s">
        <v>217</v>
      </c>
      <c r="B165" s="1">
        <v>51.0</v>
      </c>
      <c r="C165" s="1" t="s">
        <v>81</v>
      </c>
      <c r="D165" s="1">
        <v>10.0</v>
      </c>
    </row>
    <row r="166" ht="15.75" customHeight="1">
      <c r="A166" s="1" t="s">
        <v>219</v>
      </c>
      <c r="B166" s="1">
        <v>31.0</v>
      </c>
      <c r="C166" s="1" t="s">
        <v>167</v>
      </c>
      <c r="D166" s="1">
        <v>12.0</v>
      </c>
    </row>
    <row r="167" ht="15.75" customHeight="1">
      <c r="A167" s="1" t="s">
        <v>191</v>
      </c>
      <c r="B167" s="1">
        <v>52.0</v>
      </c>
      <c r="C167" s="1" t="s">
        <v>255</v>
      </c>
      <c r="D167" s="1">
        <v>10.0</v>
      </c>
    </row>
    <row r="168" ht="15.75" customHeight="1">
      <c r="A168" s="1" t="s">
        <v>105</v>
      </c>
      <c r="B168" s="1">
        <v>45.0</v>
      </c>
      <c r="C168" s="1" t="s">
        <v>256</v>
      </c>
      <c r="D168" s="1">
        <v>0.0</v>
      </c>
    </row>
    <row r="169" ht="15.75" customHeight="1">
      <c r="A169" s="1" t="s">
        <v>221</v>
      </c>
      <c r="B169" s="1">
        <v>49.0</v>
      </c>
      <c r="C169" s="1" t="s">
        <v>225</v>
      </c>
      <c r="D169" s="1">
        <v>10.0</v>
      </c>
    </row>
    <row r="170" ht="15.75" customHeight="1">
      <c r="A170" s="1" t="s">
        <v>87</v>
      </c>
      <c r="B170" s="1">
        <v>38.0</v>
      </c>
      <c r="C170" s="1" t="s">
        <v>135</v>
      </c>
      <c r="D170" s="1">
        <v>23.0</v>
      </c>
    </row>
    <row r="171" ht="15.75" customHeight="1">
      <c r="A171" s="1" t="s">
        <v>93</v>
      </c>
      <c r="B171" s="1">
        <v>23.0</v>
      </c>
      <c r="C171" s="1" t="s">
        <v>122</v>
      </c>
      <c r="D171" s="1">
        <v>12.0</v>
      </c>
    </row>
    <row r="172" ht="15.75" customHeight="1">
      <c r="A172" s="1" t="s">
        <v>230</v>
      </c>
      <c r="B172" s="1">
        <v>55.0</v>
      </c>
      <c r="C172" s="1" t="s">
        <v>56</v>
      </c>
      <c r="D172" s="1">
        <v>0.0</v>
      </c>
    </row>
    <row r="173" ht="15.75" customHeight="1">
      <c r="A173" s="1" t="s">
        <v>232</v>
      </c>
      <c r="B173" s="1">
        <v>31.0</v>
      </c>
      <c r="C173" s="1" t="s">
        <v>95</v>
      </c>
      <c r="D173" s="1">
        <v>30.0</v>
      </c>
    </row>
    <row r="174" ht="15.75" customHeight="1">
      <c r="A174" s="1" t="s">
        <v>231</v>
      </c>
      <c r="B174" s="1">
        <v>31.0</v>
      </c>
      <c r="C174" s="1" t="s">
        <v>159</v>
      </c>
      <c r="D174" s="1">
        <v>14.0</v>
      </c>
    </row>
    <row r="175" ht="15.75" customHeight="1">
      <c r="A175" s="1" t="s">
        <v>234</v>
      </c>
      <c r="B175" s="1">
        <v>30.0</v>
      </c>
      <c r="C175" s="1" t="s">
        <v>134</v>
      </c>
      <c r="D175" s="1">
        <v>9.0</v>
      </c>
    </row>
    <row r="176" ht="15.75" customHeight="1">
      <c r="A176" s="1" t="s">
        <v>236</v>
      </c>
      <c r="B176" s="1">
        <v>37.0</v>
      </c>
      <c r="C176" s="1" t="s">
        <v>223</v>
      </c>
      <c r="D176" s="1">
        <v>16.0</v>
      </c>
    </row>
    <row r="177" ht="15.75" customHeight="1">
      <c r="A177" s="1" t="s">
        <v>201</v>
      </c>
      <c r="B177" s="1">
        <v>49.0</v>
      </c>
      <c r="C177" s="1" t="s">
        <v>257</v>
      </c>
      <c r="D177" s="1">
        <v>14.0</v>
      </c>
    </row>
    <row r="178" ht="15.75" customHeight="1">
      <c r="A178" s="1" t="s">
        <v>112</v>
      </c>
      <c r="B178" s="1">
        <v>31.0</v>
      </c>
      <c r="C178" s="1" t="s">
        <v>174</v>
      </c>
      <c r="D178" s="1">
        <v>0.0</v>
      </c>
    </row>
    <row r="179" ht="15.75" customHeight="1">
      <c r="A179" s="1" t="s">
        <v>107</v>
      </c>
      <c r="B179" s="1">
        <v>27.0</v>
      </c>
      <c r="C179" s="1" t="s">
        <v>258</v>
      </c>
      <c r="D179" s="1">
        <v>13.0</v>
      </c>
    </row>
    <row r="180" ht="15.75" customHeight="1">
      <c r="A180" s="1" t="s">
        <v>116</v>
      </c>
      <c r="B180" s="1">
        <v>31.0</v>
      </c>
      <c r="C180" s="1" t="s">
        <v>221</v>
      </c>
      <c r="D180" s="1">
        <v>28.0</v>
      </c>
    </row>
    <row r="181" ht="15.75" customHeight="1">
      <c r="A181" s="1" t="s">
        <v>185</v>
      </c>
      <c r="B181" s="1">
        <v>87.0</v>
      </c>
      <c r="C181" s="1" t="s">
        <v>92</v>
      </c>
      <c r="D181" s="1">
        <v>10.0</v>
      </c>
    </row>
    <row r="182" ht="15.75" customHeight="1">
      <c r="A182" s="1" t="s">
        <v>147</v>
      </c>
      <c r="B182" s="1">
        <v>31.0</v>
      </c>
      <c r="C182" s="1" t="s">
        <v>115</v>
      </c>
      <c r="D182" s="1">
        <v>7.0</v>
      </c>
    </row>
    <row r="183" ht="15.75" customHeight="1">
      <c r="A183" s="1" t="s">
        <v>180</v>
      </c>
      <c r="B183" s="1">
        <v>23.0</v>
      </c>
      <c r="C183" s="1" t="s">
        <v>73</v>
      </c>
      <c r="D183" s="1">
        <v>20.0</v>
      </c>
    </row>
    <row r="184" ht="15.75" customHeight="1">
      <c r="A184" s="1" t="s">
        <v>193</v>
      </c>
      <c r="B184" s="1">
        <v>31.0</v>
      </c>
      <c r="C184" s="1" t="s">
        <v>259</v>
      </c>
      <c r="D184" s="1">
        <v>20.0</v>
      </c>
    </row>
    <row r="185" ht="15.75" customHeight="1">
      <c r="A185" s="1" t="s">
        <v>111</v>
      </c>
      <c r="B185" s="1">
        <v>42.0</v>
      </c>
      <c r="C185" s="1" t="s">
        <v>107</v>
      </c>
      <c r="D185" s="1">
        <v>10.0</v>
      </c>
    </row>
    <row r="186" ht="15.75" customHeight="1">
      <c r="A186" s="1" t="s">
        <v>113</v>
      </c>
      <c r="B186" s="1">
        <v>21.0</v>
      </c>
      <c r="C186" s="1" t="s">
        <v>132</v>
      </c>
      <c r="D186" s="1">
        <v>19.0</v>
      </c>
    </row>
    <row r="187" ht="15.75" customHeight="1">
      <c r="A187" s="1" t="s">
        <v>57</v>
      </c>
      <c r="B187" s="1">
        <v>37.0</v>
      </c>
      <c r="C187" s="1" t="s">
        <v>55</v>
      </c>
      <c r="D187" s="1">
        <v>27.0</v>
      </c>
    </row>
    <row r="188" ht="15.75" customHeight="1">
      <c r="A188" s="1" t="s">
        <v>120</v>
      </c>
      <c r="B188" s="1">
        <v>45.0</v>
      </c>
      <c r="C188" s="1" t="s">
        <v>50</v>
      </c>
      <c r="D188" s="1">
        <v>19.0</v>
      </c>
    </row>
    <row r="189" ht="15.75" customHeight="1">
      <c r="A189" s="1" t="s">
        <v>122</v>
      </c>
      <c r="B189" s="1">
        <v>31.0</v>
      </c>
      <c r="C189" s="1" t="s">
        <v>109</v>
      </c>
      <c r="D189" s="1">
        <v>3.0</v>
      </c>
    </row>
    <row r="190" ht="15.75" customHeight="1">
      <c r="A190" s="1" t="s">
        <v>126</v>
      </c>
      <c r="B190" s="1">
        <v>34.0</v>
      </c>
      <c r="C190" s="1" t="s">
        <v>117</v>
      </c>
      <c r="D190" s="1">
        <v>14.0</v>
      </c>
    </row>
    <row r="191" ht="15.75" customHeight="1">
      <c r="A191" s="1" t="s">
        <v>61</v>
      </c>
      <c r="B191" s="1">
        <v>34.0</v>
      </c>
      <c r="C191" s="1" t="s">
        <v>135</v>
      </c>
      <c r="D191" s="1">
        <v>3.0</v>
      </c>
    </row>
    <row r="192" ht="15.75" customHeight="1">
      <c r="A192" s="1" t="s">
        <v>128</v>
      </c>
      <c r="B192" s="1">
        <v>31.0</v>
      </c>
      <c r="C192" s="1" t="s">
        <v>208</v>
      </c>
      <c r="D192" s="1">
        <v>10.0</v>
      </c>
    </row>
    <row r="193" ht="15.75" customHeight="1">
      <c r="A193" s="1" t="s">
        <v>63</v>
      </c>
      <c r="B193" s="1">
        <v>35.0</v>
      </c>
      <c r="C193" s="1" t="s">
        <v>105</v>
      </c>
      <c r="D193" s="1">
        <v>34.0</v>
      </c>
    </row>
    <row r="194" ht="15.75" customHeight="1">
      <c r="A194" s="1" t="s">
        <v>146</v>
      </c>
      <c r="B194" s="1">
        <v>27.0</v>
      </c>
      <c r="C194" s="1" t="s">
        <v>247</v>
      </c>
      <c r="D194" s="1">
        <v>26.0</v>
      </c>
    </row>
    <row r="195" ht="15.75" customHeight="1">
      <c r="A195" s="1" t="s">
        <v>130</v>
      </c>
      <c r="B195" s="1">
        <v>27.0</v>
      </c>
      <c r="C195" s="1" t="s">
        <v>189</v>
      </c>
      <c r="D195" s="1">
        <v>16.0</v>
      </c>
    </row>
    <row r="196" ht="15.75" customHeight="1">
      <c r="A196" s="1" t="s">
        <v>67</v>
      </c>
      <c r="B196" s="1">
        <v>28.0</v>
      </c>
      <c r="C196" s="1" t="s">
        <v>104</v>
      </c>
      <c r="D196" s="1">
        <v>20.0</v>
      </c>
    </row>
    <row r="197" ht="15.75" customHeight="1">
      <c r="A197" s="1" t="s">
        <v>69</v>
      </c>
      <c r="B197" s="1">
        <v>28.0</v>
      </c>
      <c r="C197" s="1" t="s">
        <v>220</v>
      </c>
      <c r="D197" s="1">
        <v>9.0</v>
      </c>
    </row>
    <row r="198" ht="15.75" customHeight="1">
      <c r="A198" s="1" t="s">
        <v>99</v>
      </c>
      <c r="B198" s="1">
        <v>26.0</v>
      </c>
      <c r="C198" s="1" t="s">
        <v>162</v>
      </c>
      <c r="D198" s="1">
        <v>21.0</v>
      </c>
    </row>
    <row r="199" ht="15.75" customHeight="1">
      <c r="A199" s="1" t="s">
        <v>134</v>
      </c>
      <c r="B199" s="1">
        <v>37.0</v>
      </c>
      <c r="C199" s="1" t="s">
        <v>68</v>
      </c>
      <c r="D199" s="1">
        <v>34.0</v>
      </c>
    </row>
    <row r="200" ht="15.75" customHeight="1">
      <c r="A200" s="1" t="s">
        <v>102</v>
      </c>
      <c r="B200" s="1">
        <v>38.0</v>
      </c>
      <c r="C200" s="1" t="s">
        <v>140</v>
      </c>
      <c r="D200" s="1">
        <v>20.0</v>
      </c>
    </row>
    <row r="201" ht="15.75" customHeight="1">
      <c r="A201" s="1" t="s">
        <v>168</v>
      </c>
      <c r="B201" s="1">
        <v>48.0</v>
      </c>
      <c r="C201" s="1" t="s">
        <v>182</v>
      </c>
      <c r="D201" s="1">
        <v>0.0</v>
      </c>
    </row>
    <row r="202" ht="15.75" customHeight="1">
      <c r="A202" s="1" t="s">
        <v>136</v>
      </c>
      <c r="B202" s="1">
        <v>13.0</v>
      </c>
      <c r="C202" s="1" t="s">
        <v>149</v>
      </c>
      <c r="D202" s="1">
        <v>12.0</v>
      </c>
    </row>
    <row r="203" ht="15.75" customHeight="1">
      <c r="A203" s="1" t="s">
        <v>125</v>
      </c>
      <c r="B203" s="1">
        <v>42.0</v>
      </c>
      <c r="C203" s="1" t="s">
        <v>260</v>
      </c>
      <c r="D203" s="1">
        <v>14.0</v>
      </c>
    </row>
    <row r="204" ht="15.75" customHeight="1">
      <c r="A204" s="1" t="s">
        <v>138</v>
      </c>
      <c r="B204" s="1">
        <v>36.0</v>
      </c>
      <c r="C204" s="1" t="s">
        <v>230</v>
      </c>
      <c r="D204" s="1">
        <v>32.0</v>
      </c>
    </row>
    <row r="205" ht="15.75" customHeight="1">
      <c r="A205" s="1" t="s">
        <v>47</v>
      </c>
      <c r="B205" s="1">
        <v>59.0</v>
      </c>
      <c r="C205" s="1" t="s">
        <v>261</v>
      </c>
      <c r="D205" s="1">
        <v>7.0</v>
      </c>
    </row>
    <row r="206" ht="15.75" customHeight="1">
      <c r="A206" s="1" t="s">
        <v>181</v>
      </c>
      <c r="B206" s="1">
        <v>33.0</v>
      </c>
      <c r="C206" s="1" t="s">
        <v>207</v>
      </c>
      <c r="D206" s="1">
        <v>7.0</v>
      </c>
    </row>
    <row r="207" ht="15.75" customHeight="1">
      <c r="A207" s="1" t="s">
        <v>71</v>
      </c>
      <c r="B207" s="1">
        <v>30.0</v>
      </c>
      <c r="C207" s="1" t="s">
        <v>65</v>
      </c>
      <c r="D207" s="1">
        <v>9.0</v>
      </c>
    </row>
    <row r="208" ht="15.75" customHeight="1">
      <c r="A208" s="1" t="s">
        <v>139</v>
      </c>
      <c r="B208" s="1">
        <v>42.0</v>
      </c>
      <c r="C208" s="1" t="s">
        <v>227</v>
      </c>
      <c r="D208" s="1">
        <v>13.0</v>
      </c>
    </row>
    <row r="209" ht="15.75" customHeight="1">
      <c r="A209" s="1" t="s">
        <v>141</v>
      </c>
      <c r="B209" s="1">
        <v>38.0</v>
      </c>
      <c r="C209" s="1" t="s">
        <v>179</v>
      </c>
      <c r="D209" s="1">
        <v>21.0</v>
      </c>
    </row>
    <row r="210" ht="15.75" customHeight="1">
      <c r="A210" s="1" t="s">
        <v>151</v>
      </c>
      <c r="B210" s="1">
        <v>28.0</v>
      </c>
      <c r="C210" s="1" t="s">
        <v>178</v>
      </c>
      <c r="D210" s="1">
        <v>10.0</v>
      </c>
    </row>
    <row r="211" ht="15.75" customHeight="1">
      <c r="A211" s="1" t="s">
        <v>239</v>
      </c>
      <c r="B211" s="1">
        <v>36.0</v>
      </c>
      <c r="C211" s="1" t="s">
        <v>210</v>
      </c>
      <c r="D211" s="1">
        <v>33.0</v>
      </c>
    </row>
    <row r="212" ht="15.75" customHeight="1">
      <c r="A212" s="1" t="s">
        <v>161</v>
      </c>
      <c r="B212" s="1">
        <v>27.0</v>
      </c>
      <c r="C212" s="1" t="s">
        <v>232</v>
      </c>
      <c r="D212" s="1">
        <v>13.0</v>
      </c>
    </row>
    <row r="213" ht="15.75" customHeight="1">
      <c r="A213" s="1" t="s">
        <v>163</v>
      </c>
      <c r="B213" s="1">
        <v>20.0</v>
      </c>
      <c r="C213" s="1" t="s">
        <v>48</v>
      </c>
      <c r="D213" s="1">
        <v>12.0</v>
      </c>
    </row>
    <row r="214" ht="15.75" customHeight="1">
      <c r="A214" s="1" t="s">
        <v>165</v>
      </c>
      <c r="B214" s="1">
        <v>62.0</v>
      </c>
      <c r="C214" s="1" t="s">
        <v>242</v>
      </c>
      <c r="D214" s="1">
        <v>0.0</v>
      </c>
    </row>
    <row r="215" ht="15.75" customHeight="1">
      <c r="A215" s="1" t="s">
        <v>167</v>
      </c>
      <c r="B215" s="1">
        <v>28.0</v>
      </c>
      <c r="C215" s="1" t="s">
        <v>118</v>
      </c>
      <c r="D215" s="1">
        <v>18.0</v>
      </c>
    </row>
    <row r="216" ht="15.75" customHeight="1">
      <c r="A216" s="1" t="s">
        <v>101</v>
      </c>
      <c r="B216" s="1">
        <v>40.0</v>
      </c>
      <c r="C216" s="1" t="s">
        <v>262</v>
      </c>
      <c r="D216" s="1">
        <v>0.0</v>
      </c>
    </row>
    <row r="217" ht="15.75" customHeight="1">
      <c r="A217" s="1" t="s">
        <v>80</v>
      </c>
      <c r="B217" s="1">
        <v>27.0</v>
      </c>
      <c r="C217" s="1" t="s">
        <v>52</v>
      </c>
      <c r="D217" s="1">
        <v>0.0</v>
      </c>
    </row>
    <row r="218" ht="15.75" customHeight="1">
      <c r="A218" s="1" t="s">
        <v>171</v>
      </c>
      <c r="B218" s="1">
        <v>40.0</v>
      </c>
      <c r="C218" s="1" t="s">
        <v>95</v>
      </c>
      <c r="D218" s="1">
        <v>6.0</v>
      </c>
    </row>
    <row r="219" ht="15.75" customHeight="1">
      <c r="A219" s="1" t="s">
        <v>77</v>
      </c>
      <c r="B219" s="1">
        <v>27.0</v>
      </c>
      <c r="C219" s="1" t="s">
        <v>240</v>
      </c>
      <c r="D219" s="1">
        <v>21.0</v>
      </c>
    </row>
    <row r="220" ht="15.75" customHeight="1">
      <c r="A220" s="1" t="s">
        <v>177</v>
      </c>
      <c r="B220" s="1">
        <v>34.0</v>
      </c>
      <c r="C220" s="1" t="s">
        <v>263</v>
      </c>
      <c r="D220" s="1">
        <v>3.0</v>
      </c>
    </row>
    <row r="221" ht="15.75" customHeight="1">
      <c r="A221" s="1" t="s">
        <v>79</v>
      </c>
      <c r="B221" s="1">
        <v>45.0</v>
      </c>
      <c r="C221" s="1" t="s">
        <v>264</v>
      </c>
      <c r="D221" s="1">
        <v>10.0</v>
      </c>
    </row>
    <row r="222" ht="15.75" customHeight="1">
      <c r="A222" s="1" t="s">
        <v>81</v>
      </c>
      <c r="B222" s="1">
        <v>30.0</v>
      </c>
      <c r="C222" s="1" t="s">
        <v>155</v>
      </c>
      <c r="D222" s="1">
        <v>20.0</v>
      </c>
    </row>
    <row r="223" ht="15.75" customHeight="1">
      <c r="A223" s="1" t="s">
        <v>188</v>
      </c>
      <c r="B223" s="1">
        <v>31.0</v>
      </c>
      <c r="C223" s="1" t="s">
        <v>72</v>
      </c>
      <c r="D223" s="1">
        <v>7.0</v>
      </c>
    </row>
    <row r="224" ht="15.75" customHeight="1">
      <c r="A224" s="1" t="s">
        <v>190</v>
      </c>
      <c r="B224" s="1">
        <v>66.0</v>
      </c>
      <c r="C224" s="1" t="s">
        <v>204</v>
      </c>
      <c r="D224" s="1">
        <v>7.0</v>
      </c>
    </row>
    <row r="225" ht="15.75" customHeight="1">
      <c r="A225" s="1" t="s">
        <v>216</v>
      </c>
      <c r="B225" s="1">
        <v>21.0</v>
      </c>
      <c r="C225" s="1" t="s">
        <v>265</v>
      </c>
      <c r="D225" s="1">
        <v>6.0</v>
      </c>
    </row>
    <row r="226" ht="15.75" customHeight="1">
      <c r="A226" s="1" t="s">
        <v>103</v>
      </c>
      <c r="B226" s="1">
        <v>34.0</v>
      </c>
      <c r="C226" s="1" t="s">
        <v>89</v>
      </c>
      <c r="D226" s="1">
        <v>19.0</v>
      </c>
    </row>
    <row r="227" ht="15.75" customHeight="1">
      <c r="A227" s="1" t="s">
        <v>194</v>
      </c>
      <c r="B227" s="1">
        <v>45.0</v>
      </c>
      <c r="C227" s="1" t="s">
        <v>91</v>
      </c>
      <c r="D227" s="1">
        <v>10.0</v>
      </c>
    </row>
    <row r="228" ht="15.75" customHeight="1">
      <c r="A228" s="1" t="s">
        <v>196</v>
      </c>
      <c r="B228" s="1">
        <v>49.0</v>
      </c>
      <c r="C228" s="1" t="s">
        <v>198</v>
      </c>
      <c r="D228" s="1">
        <v>14.0</v>
      </c>
    </row>
    <row r="229" ht="15.75" customHeight="1">
      <c r="A229" s="1" t="s">
        <v>202</v>
      </c>
      <c r="B229" s="1">
        <v>38.0</v>
      </c>
      <c r="C229" s="1" t="s">
        <v>201</v>
      </c>
      <c r="D229" s="1">
        <v>34.0</v>
      </c>
    </row>
    <row r="230" ht="15.75" customHeight="1">
      <c r="A230" s="1" t="s">
        <v>206</v>
      </c>
      <c r="B230" s="1">
        <v>31.0</v>
      </c>
      <c r="C230" s="1" t="s">
        <v>53</v>
      </c>
      <c r="D230" s="1">
        <v>13.0</v>
      </c>
    </row>
    <row r="231" ht="15.75" customHeight="1">
      <c r="A231" s="1" t="s">
        <v>85</v>
      </c>
      <c r="B231" s="1">
        <v>31.0</v>
      </c>
      <c r="C231" s="1" t="s">
        <v>226</v>
      </c>
      <c r="D231" s="1">
        <v>10.0</v>
      </c>
    </row>
    <row r="232" ht="15.75" customHeight="1">
      <c r="A232" s="1" t="s">
        <v>212</v>
      </c>
      <c r="B232" s="1">
        <v>49.0</v>
      </c>
      <c r="C232" s="1" t="s">
        <v>150</v>
      </c>
      <c r="D232" s="1">
        <v>24.0</v>
      </c>
    </row>
    <row r="233" ht="15.75" customHeight="1">
      <c r="A233" s="1" t="s">
        <v>217</v>
      </c>
      <c r="B233" s="1">
        <v>71.0</v>
      </c>
      <c r="C233" s="1" t="s">
        <v>203</v>
      </c>
      <c r="D233" s="1">
        <v>0.0</v>
      </c>
    </row>
    <row r="234" ht="15.75" customHeight="1">
      <c r="A234" s="1" t="s">
        <v>219</v>
      </c>
      <c r="B234" s="1">
        <v>56.0</v>
      </c>
      <c r="C234" s="1" t="s">
        <v>225</v>
      </c>
      <c r="D234" s="1">
        <v>7.0</v>
      </c>
    </row>
    <row r="235" ht="15.75" customHeight="1">
      <c r="A235" s="1" t="s">
        <v>191</v>
      </c>
      <c r="B235" s="1">
        <v>33.0</v>
      </c>
      <c r="C235" s="1" t="s">
        <v>166</v>
      </c>
      <c r="D235" s="1">
        <v>20.0</v>
      </c>
    </row>
    <row r="236" ht="15.75" customHeight="1">
      <c r="A236" s="1" t="s">
        <v>223</v>
      </c>
      <c r="B236" s="1">
        <v>66.0</v>
      </c>
      <c r="C236" s="1" t="s">
        <v>184</v>
      </c>
      <c r="D236" s="1">
        <v>21.0</v>
      </c>
    </row>
    <row r="237" ht="15.75" customHeight="1">
      <c r="A237" s="1" t="s">
        <v>87</v>
      </c>
      <c r="B237" s="1">
        <v>41.0</v>
      </c>
      <c r="C237" s="1" t="s">
        <v>173</v>
      </c>
      <c r="D237" s="1">
        <v>17.0</v>
      </c>
    </row>
    <row r="238" ht="15.75" customHeight="1">
      <c r="A238" s="1" t="s">
        <v>93</v>
      </c>
      <c r="B238" s="1">
        <v>38.0</v>
      </c>
      <c r="C238" s="1" t="s">
        <v>228</v>
      </c>
      <c r="D238" s="1">
        <v>21.0</v>
      </c>
    </row>
    <row r="239" ht="15.75" customHeight="1">
      <c r="A239" s="1" t="s">
        <v>231</v>
      </c>
      <c r="B239" s="1">
        <v>37.0</v>
      </c>
      <c r="C239" s="1" t="s">
        <v>211</v>
      </c>
      <c r="D239" s="1">
        <v>17.0</v>
      </c>
    </row>
    <row r="240" ht="15.75" customHeight="1">
      <c r="A240" s="1" t="s">
        <v>236</v>
      </c>
      <c r="B240" s="1">
        <v>24.0</v>
      </c>
      <c r="C240" s="1" t="s">
        <v>234</v>
      </c>
      <c r="D240" s="1">
        <v>19.0</v>
      </c>
    </row>
    <row r="241" ht="15.75" customHeight="1">
      <c r="A241" s="1" t="s">
        <v>112</v>
      </c>
      <c r="B241" s="1">
        <v>49.0</v>
      </c>
      <c r="C241" s="1" t="s">
        <v>169</v>
      </c>
      <c r="D241" s="1">
        <v>21.0</v>
      </c>
    </row>
    <row r="242" ht="15.75" customHeight="1">
      <c r="A242" s="1" t="s">
        <v>108</v>
      </c>
      <c r="B242" s="1">
        <v>59.0</v>
      </c>
      <c r="C242" s="1" t="s">
        <v>213</v>
      </c>
      <c r="D242" s="1">
        <v>31.0</v>
      </c>
    </row>
    <row r="243" ht="15.75" customHeight="1">
      <c r="A243" s="1" t="s">
        <v>185</v>
      </c>
      <c r="B243" s="1">
        <v>48.0</v>
      </c>
      <c r="C243" s="1" t="s">
        <v>113</v>
      </c>
      <c r="D243" s="1">
        <v>14.0</v>
      </c>
    </row>
    <row r="244" ht="15.75" customHeight="1">
      <c r="A244" s="1" t="s">
        <v>71</v>
      </c>
      <c r="B244" s="1">
        <v>31.0</v>
      </c>
      <c r="C244" s="1" t="s">
        <v>177</v>
      </c>
      <c r="D244" s="1">
        <v>24.0</v>
      </c>
    </row>
    <row r="245" ht="15.75" customHeight="1">
      <c r="A245" s="1" t="s">
        <v>106</v>
      </c>
      <c r="B245" s="1">
        <v>26.0</v>
      </c>
      <c r="C245" s="1" t="s">
        <v>215</v>
      </c>
      <c r="D245" s="1">
        <v>24.0</v>
      </c>
    </row>
    <row r="246" ht="15.75" customHeight="1">
      <c r="A246" s="1" t="s">
        <v>236</v>
      </c>
      <c r="B246" s="1">
        <v>54.0</v>
      </c>
      <c r="C246" s="1" t="s">
        <v>85</v>
      </c>
      <c r="D246" s="1">
        <v>52.0</v>
      </c>
    </row>
    <row r="247" ht="15.75" customHeight="1">
      <c r="A247" s="1" t="s">
        <v>57</v>
      </c>
      <c r="B247" s="1">
        <v>24.0</v>
      </c>
      <c r="C247" s="1" t="s">
        <v>120</v>
      </c>
      <c r="D247" s="1">
        <v>14.0</v>
      </c>
    </row>
    <row r="248" ht="15.75" customHeight="1">
      <c r="A248" s="1" t="s">
        <v>97</v>
      </c>
      <c r="B248" s="1">
        <v>37.0</v>
      </c>
      <c r="C248" s="1" t="s">
        <v>207</v>
      </c>
      <c r="D248" s="1">
        <v>14.0</v>
      </c>
    </row>
    <row r="249" ht="15.75" customHeight="1">
      <c r="A249" s="1" t="s">
        <v>124</v>
      </c>
      <c r="B249" s="1">
        <v>56.0</v>
      </c>
      <c r="C249" s="1" t="s">
        <v>237</v>
      </c>
      <c r="D249" s="1">
        <v>14.0</v>
      </c>
    </row>
    <row r="250" ht="15.75" customHeight="1">
      <c r="A250" s="1" t="s">
        <v>240</v>
      </c>
      <c r="B250" s="1">
        <v>23.0</v>
      </c>
      <c r="C250" s="1" t="s">
        <v>101</v>
      </c>
      <c r="D250" s="1">
        <v>19.0</v>
      </c>
    </row>
    <row r="251" ht="15.75" customHeight="1">
      <c r="A251" s="1" t="s">
        <v>126</v>
      </c>
      <c r="B251" s="1">
        <v>38.0</v>
      </c>
      <c r="C251" s="1" t="s">
        <v>147</v>
      </c>
      <c r="D251" s="1">
        <v>9.0</v>
      </c>
    </row>
    <row r="252" ht="15.75" customHeight="1">
      <c r="A252" s="1" t="s">
        <v>61</v>
      </c>
      <c r="B252" s="1">
        <v>23.0</v>
      </c>
      <c r="C252" s="1" t="s">
        <v>186</v>
      </c>
      <c r="D252" s="1">
        <v>20.0</v>
      </c>
    </row>
    <row r="253" ht="15.75" customHeight="1">
      <c r="A253" s="1" t="s">
        <v>65</v>
      </c>
      <c r="B253" s="1">
        <v>37.0</v>
      </c>
      <c r="C253" s="1" t="s">
        <v>242</v>
      </c>
      <c r="D253" s="1">
        <v>34.0</v>
      </c>
    </row>
    <row r="254" ht="15.75" customHeight="1">
      <c r="A254" s="1" t="s">
        <v>130</v>
      </c>
      <c r="B254" s="1">
        <v>34.0</v>
      </c>
      <c r="C254" s="1" t="s">
        <v>181</v>
      </c>
      <c r="D254" s="1">
        <v>0.0</v>
      </c>
    </row>
    <row r="255" ht="15.75" customHeight="1">
      <c r="A255" s="1" t="s">
        <v>137</v>
      </c>
      <c r="B255" s="1">
        <v>59.0</v>
      </c>
      <c r="C255" s="1" t="s">
        <v>81</v>
      </c>
      <c r="D255" s="1">
        <v>35.0</v>
      </c>
    </row>
    <row r="256" ht="15.75" customHeight="1">
      <c r="A256" s="1" t="s">
        <v>69</v>
      </c>
      <c r="B256" s="1">
        <v>38.0</v>
      </c>
      <c r="C256" s="1" t="s">
        <v>122</v>
      </c>
      <c r="D256" s="1">
        <v>31.0</v>
      </c>
    </row>
    <row r="257" ht="15.75" customHeight="1">
      <c r="A257" s="1" t="s">
        <v>220</v>
      </c>
      <c r="B257" s="1">
        <v>27.0</v>
      </c>
      <c r="C257" s="1" t="s">
        <v>178</v>
      </c>
      <c r="D257" s="1">
        <v>17.0</v>
      </c>
    </row>
    <row r="258" ht="15.75" customHeight="1">
      <c r="A258" s="1" t="s">
        <v>162</v>
      </c>
      <c r="B258" s="1">
        <v>48.0</v>
      </c>
      <c r="C258" s="1" t="s">
        <v>102</v>
      </c>
      <c r="D258" s="1">
        <v>14.0</v>
      </c>
    </row>
    <row r="259" ht="15.75" customHeight="1">
      <c r="A259" s="1" t="s">
        <v>99</v>
      </c>
      <c r="B259" s="1">
        <v>45.0</v>
      </c>
      <c r="C259" s="1" t="s">
        <v>169</v>
      </c>
      <c r="D259" s="1">
        <v>17.0</v>
      </c>
    </row>
    <row r="260" ht="15.75" customHeight="1">
      <c r="A260" s="1" t="s">
        <v>134</v>
      </c>
      <c r="B260" s="1">
        <v>36.0</v>
      </c>
      <c r="C260" s="1" t="s">
        <v>253</v>
      </c>
      <c r="D260" s="1">
        <v>0.0</v>
      </c>
    </row>
    <row r="261" ht="15.75" customHeight="1">
      <c r="A261" s="1" t="s">
        <v>166</v>
      </c>
      <c r="B261" s="1">
        <v>45.0</v>
      </c>
      <c r="C261" s="1" t="s">
        <v>173</v>
      </c>
      <c r="D261" s="1">
        <v>28.0</v>
      </c>
    </row>
    <row r="262" ht="15.75" customHeight="1">
      <c r="A262" s="1" t="s">
        <v>48</v>
      </c>
      <c r="B262" s="1">
        <v>14.0</v>
      </c>
      <c r="C262" s="1" t="s">
        <v>128</v>
      </c>
      <c r="D262" s="1">
        <v>9.0</v>
      </c>
    </row>
    <row r="263" ht="15.75" customHeight="1">
      <c r="A263" s="1" t="s">
        <v>168</v>
      </c>
      <c r="B263" s="1">
        <v>38.0</v>
      </c>
      <c r="C263" s="1" t="s">
        <v>50</v>
      </c>
      <c r="D263" s="1">
        <v>21.0</v>
      </c>
    </row>
    <row r="264" ht="15.75" customHeight="1">
      <c r="A264" s="1" t="s">
        <v>139</v>
      </c>
      <c r="B264" s="1">
        <v>52.0</v>
      </c>
      <c r="C264" s="1" t="s">
        <v>146</v>
      </c>
      <c r="D264" s="1">
        <v>14.0</v>
      </c>
    </row>
    <row r="265" ht="15.75" customHeight="1">
      <c r="A265" s="1" t="s">
        <v>141</v>
      </c>
      <c r="B265" s="1">
        <v>31.0</v>
      </c>
      <c r="C265" s="1" t="s">
        <v>80</v>
      </c>
      <c r="D265" s="1">
        <v>14.0</v>
      </c>
    </row>
    <row r="266" ht="15.75" customHeight="1">
      <c r="A266" s="1" t="s">
        <v>143</v>
      </c>
      <c r="B266" s="1">
        <v>52.0</v>
      </c>
      <c r="C266" s="1" t="s">
        <v>118</v>
      </c>
      <c r="D266" s="1">
        <v>7.0</v>
      </c>
    </row>
    <row r="267" ht="15.75" customHeight="1">
      <c r="A267" s="1" t="s">
        <v>68</v>
      </c>
      <c r="B267" s="1">
        <v>44.0</v>
      </c>
      <c r="C267" s="1" t="s">
        <v>150</v>
      </c>
      <c r="D267" s="1">
        <v>7.0</v>
      </c>
    </row>
    <row r="268" ht="15.75" customHeight="1">
      <c r="A268" s="1" t="s">
        <v>145</v>
      </c>
      <c r="B268" s="1">
        <v>70.0</v>
      </c>
      <c r="C268" s="1" t="s">
        <v>79</v>
      </c>
      <c r="D268" s="1">
        <v>50.0</v>
      </c>
    </row>
    <row r="269" ht="15.75" customHeight="1">
      <c r="A269" s="1" t="s">
        <v>149</v>
      </c>
      <c r="B269" s="1">
        <v>41.0</v>
      </c>
      <c r="C269" s="1" t="s">
        <v>216</v>
      </c>
      <c r="D269" s="1">
        <v>6.0</v>
      </c>
    </row>
    <row r="270" ht="15.75" customHeight="1">
      <c r="A270" s="1" t="s">
        <v>151</v>
      </c>
      <c r="B270" s="1">
        <v>35.0</v>
      </c>
      <c r="C270" s="1" t="s">
        <v>132</v>
      </c>
      <c r="D270" s="1">
        <v>24.0</v>
      </c>
    </row>
    <row r="271" ht="15.75" customHeight="1">
      <c r="A271" s="1" t="s">
        <v>266</v>
      </c>
      <c r="B271" s="1">
        <v>34.0</v>
      </c>
      <c r="C271" s="1" t="s">
        <v>227</v>
      </c>
      <c r="D271" s="1">
        <v>17.0</v>
      </c>
    </row>
    <row r="272" ht="15.75" customHeight="1">
      <c r="A272" s="1" t="s">
        <v>267</v>
      </c>
      <c r="B272" s="1">
        <v>31.0</v>
      </c>
      <c r="C272" s="1" t="s">
        <v>47</v>
      </c>
      <c r="D272" s="1">
        <v>19.0</v>
      </c>
    </row>
    <row r="273" ht="15.75" customHeight="1">
      <c r="A273" s="1" t="s">
        <v>161</v>
      </c>
      <c r="B273" s="1">
        <v>38.0</v>
      </c>
      <c r="C273" s="1" t="s">
        <v>268</v>
      </c>
      <c r="D273" s="1">
        <v>20.0</v>
      </c>
    </row>
    <row r="274" ht="15.75" customHeight="1">
      <c r="A274" s="1" t="s">
        <v>135</v>
      </c>
      <c r="B274" s="1">
        <v>35.0</v>
      </c>
      <c r="C274" s="1" t="s">
        <v>66</v>
      </c>
      <c r="D274" s="1">
        <v>31.0</v>
      </c>
    </row>
    <row r="275" ht="15.75" customHeight="1">
      <c r="A275" s="1" t="s">
        <v>269</v>
      </c>
      <c r="B275" s="1">
        <v>50.0</v>
      </c>
      <c r="C275" s="1" t="s">
        <v>212</v>
      </c>
      <c r="D275" s="1">
        <v>15.0</v>
      </c>
    </row>
    <row r="276" ht="15.75" customHeight="1">
      <c r="A276" s="1" t="s">
        <v>270</v>
      </c>
      <c r="B276" s="1">
        <v>27.0</v>
      </c>
      <c r="C276" s="1" t="s">
        <v>271</v>
      </c>
      <c r="D276" s="1">
        <v>24.0</v>
      </c>
    </row>
    <row r="277" ht="15.75" customHeight="1">
      <c r="A277" s="1" t="s">
        <v>272</v>
      </c>
      <c r="B277" s="1">
        <v>52.0</v>
      </c>
      <c r="C277" s="1" t="s">
        <v>125</v>
      </c>
      <c r="D277" s="1">
        <v>13.0</v>
      </c>
    </row>
    <row r="278" ht="15.75" customHeight="1">
      <c r="A278" s="1" t="s">
        <v>273</v>
      </c>
      <c r="B278" s="1">
        <v>30.0</v>
      </c>
      <c r="C278" s="1" t="s">
        <v>230</v>
      </c>
      <c r="D278" s="1">
        <v>27.0</v>
      </c>
    </row>
    <row r="279" ht="15.75" customHeight="1">
      <c r="A279" s="1" t="s">
        <v>274</v>
      </c>
      <c r="B279" s="1">
        <v>45.0</v>
      </c>
      <c r="C279" s="1" t="s">
        <v>140</v>
      </c>
      <c r="D279" s="1">
        <v>42.0</v>
      </c>
    </row>
    <row r="280" ht="15.75" customHeight="1">
      <c r="A280" s="1" t="s">
        <v>175</v>
      </c>
      <c r="B280" s="1">
        <v>56.0</v>
      </c>
      <c r="C280" s="1" t="s">
        <v>163</v>
      </c>
      <c r="D280" s="1">
        <v>44.0</v>
      </c>
    </row>
    <row r="281" ht="15.75" customHeight="1">
      <c r="A281" s="1" t="s">
        <v>52</v>
      </c>
      <c r="B281" s="1">
        <v>49.0</v>
      </c>
      <c r="C281" s="1" t="s">
        <v>275</v>
      </c>
      <c r="D281" s="1">
        <v>16.0</v>
      </c>
    </row>
    <row r="282" ht="15.75" customHeight="1">
      <c r="A282" s="1" t="s">
        <v>184</v>
      </c>
      <c r="B282" s="1">
        <v>44.0</v>
      </c>
      <c r="C282" s="1" t="s">
        <v>117</v>
      </c>
      <c r="D282" s="1">
        <v>17.0</v>
      </c>
    </row>
    <row r="283" ht="15.75" customHeight="1">
      <c r="A283" s="1" t="s">
        <v>276</v>
      </c>
      <c r="B283" s="1">
        <v>28.0</v>
      </c>
      <c r="C283" s="1" t="s">
        <v>189</v>
      </c>
      <c r="D283" s="1">
        <v>3.0</v>
      </c>
    </row>
    <row r="284" ht="15.75" customHeight="1">
      <c r="A284" s="1" t="s">
        <v>277</v>
      </c>
      <c r="B284" s="1">
        <v>49.0</v>
      </c>
      <c r="C284" s="1" t="s">
        <v>159</v>
      </c>
      <c r="D284" s="1">
        <v>14.0</v>
      </c>
    </row>
    <row r="285" ht="15.75" customHeight="1">
      <c r="A285" s="1" t="s">
        <v>198</v>
      </c>
      <c r="B285" s="1">
        <v>38.0</v>
      </c>
      <c r="C285" s="1" t="s">
        <v>204</v>
      </c>
      <c r="D285" s="1">
        <v>21.0</v>
      </c>
    </row>
    <row r="286" ht="15.75" customHeight="1">
      <c r="A286" s="1" t="s">
        <v>278</v>
      </c>
      <c r="B286" s="1">
        <v>56.0</v>
      </c>
      <c r="C286" s="1" t="s">
        <v>203</v>
      </c>
      <c r="D286" s="1">
        <v>0.0</v>
      </c>
    </row>
    <row r="287" ht="15.75" customHeight="1">
      <c r="A287" s="1" t="s">
        <v>202</v>
      </c>
      <c r="B287" s="1">
        <v>73.0</v>
      </c>
      <c r="C287" s="1" t="s">
        <v>279</v>
      </c>
      <c r="D287" s="1">
        <v>17.0</v>
      </c>
    </row>
    <row r="288" ht="15.75" customHeight="1">
      <c r="A288" s="1" t="s">
        <v>83</v>
      </c>
      <c r="B288" s="1">
        <v>26.0</v>
      </c>
      <c r="C288" s="1" t="s">
        <v>231</v>
      </c>
      <c r="D288" s="1">
        <v>23.0</v>
      </c>
    </row>
    <row r="289" ht="15.75" customHeight="1">
      <c r="A289" s="1" t="s">
        <v>206</v>
      </c>
      <c r="B289" s="1">
        <v>31.0</v>
      </c>
      <c r="C289" s="1" t="s">
        <v>182</v>
      </c>
      <c r="D289" s="1">
        <v>11.0</v>
      </c>
    </row>
    <row r="290" ht="15.75" customHeight="1">
      <c r="A290" s="1" t="s">
        <v>210</v>
      </c>
      <c r="B290" s="1">
        <v>50.0</v>
      </c>
      <c r="C290" s="1" t="s">
        <v>193</v>
      </c>
      <c r="D290" s="1">
        <v>7.0</v>
      </c>
    </row>
    <row r="291" ht="15.75" customHeight="1">
      <c r="A291" s="1" t="s">
        <v>51</v>
      </c>
      <c r="B291" s="1">
        <v>66.0</v>
      </c>
      <c r="C291" s="1" t="s">
        <v>105</v>
      </c>
      <c r="D291" s="1">
        <v>42.0</v>
      </c>
    </row>
    <row r="292" ht="15.75" customHeight="1">
      <c r="A292" s="1" t="s">
        <v>104</v>
      </c>
      <c r="B292" s="1">
        <v>45.0</v>
      </c>
      <c r="C292" s="1" t="s">
        <v>228</v>
      </c>
      <c r="D292" s="1">
        <v>29.0</v>
      </c>
    </row>
    <row r="293" ht="15.75" customHeight="1">
      <c r="A293" s="1" t="s">
        <v>280</v>
      </c>
      <c r="B293" s="1">
        <v>25.0</v>
      </c>
      <c r="C293" s="1" t="s">
        <v>281</v>
      </c>
      <c r="D293" s="1">
        <v>15.0</v>
      </c>
    </row>
    <row r="294" ht="15.75" customHeight="1">
      <c r="A294" s="1" t="s">
        <v>219</v>
      </c>
      <c r="B294" s="1">
        <v>51.0</v>
      </c>
      <c r="C294" s="1" t="s">
        <v>75</v>
      </c>
      <c r="D294" s="1">
        <v>3.0</v>
      </c>
    </row>
    <row r="295" ht="15.75" customHeight="1">
      <c r="A295" s="1" t="s">
        <v>282</v>
      </c>
      <c r="B295" s="1">
        <v>26.0</v>
      </c>
      <c r="C295" s="1" t="s">
        <v>59</v>
      </c>
      <c r="D295" s="1">
        <v>20.0</v>
      </c>
    </row>
    <row r="296" ht="15.75" customHeight="1">
      <c r="A296" s="1" t="s">
        <v>223</v>
      </c>
      <c r="B296" s="1">
        <v>30.0</v>
      </c>
      <c r="C296" s="1" t="s">
        <v>116</v>
      </c>
      <c r="D296" s="1">
        <v>22.0</v>
      </c>
    </row>
    <row r="297" ht="15.75" customHeight="1">
      <c r="A297" s="1" t="s">
        <v>225</v>
      </c>
      <c r="B297" s="1">
        <v>45.0</v>
      </c>
      <c r="C297" s="1" t="s">
        <v>214</v>
      </c>
      <c r="D297" s="1">
        <v>7.0</v>
      </c>
    </row>
    <row r="298" ht="15.75" customHeight="1">
      <c r="A298" s="1" t="s">
        <v>179</v>
      </c>
      <c r="B298" s="1">
        <v>34.0</v>
      </c>
      <c r="C298" s="1" t="s">
        <v>248</v>
      </c>
      <c r="D298" s="1">
        <v>12.0</v>
      </c>
    </row>
    <row r="299" ht="15.75" customHeight="1">
      <c r="A299" s="1" t="s">
        <v>89</v>
      </c>
      <c r="B299" s="1">
        <v>41.0</v>
      </c>
      <c r="C299" s="1" t="s">
        <v>153</v>
      </c>
      <c r="D299" s="1">
        <v>33.0</v>
      </c>
    </row>
    <row r="300" ht="15.75" customHeight="1">
      <c r="A300" s="1" t="s">
        <v>91</v>
      </c>
      <c r="B300" s="1">
        <v>23.0</v>
      </c>
      <c r="C300" s="1" t="s">
        <v>155</v>
      </c>
      <c r="D300" s="1">
        <v>20.0</v>
      </c>
    </row>
    <row r="301" ht="15.75" customHeight="1">
      <c r="A301" s="1" t="s">
        <v>283</v>
      </c>
      <c r="B301" s="1">
        <v>22.0</v>
      </c>
      <c r="C301" s="1" t="s">
        <v>284</v>
      </c>
      <c r="D301" s="1">
        <v>19.0</v>
      </c>
    </row>
    <row r="302" ht="15.75" customHeight="1">
      <c r="A302" s="1" t="s">
        <v>232</v>
      </c>
      <c r="B302" s="1">
        <v>43.0</v>
      </c>
      <c r="C302" s="1" t="s">
        <v>67</v>
      </c>
      <c r="D302" s="1">
        <v>24.0</v>
      </c>
    </row>
    <row r="303" ht="15.75" customHeight="1">
      <c r="A303" s="1" t="s">
        <v>234</v>
      </c>
      <c r="B303" s="1">
        <v>24.0</v>
      </c>
      <c r="C303" s="1" t="s">
        <v>188</v>
      </c>
      <c r="D303" s="1">
        <v>5.0</v>
      </c>
    </row>
    <row r="304" ht="15.75" customHeight="1">
      <c r="A304" s="1" t="s">
        <v>201</v>
      </c>
      <c r="B304" s="1">
        <v>32.0</v>
      </c>
      <c r="C304" s="1" t="s">
        <v>73</v>
      </c>
      <c r="D304" s="1">
        <v>28.0</v>
      </c>
    </row>
    <row r="305" ht="15.75" customHeight="1">
      <c r="A305" s="1" t="s">
        <v>112</v>
      </c>
      <c r="B305" s="1">
        <v>26.0</v>
      </c>
      <c r="C305" s="1" t="s">
        <v>87</v>
      </c>
      <c r="D305" s="1">
        <v>21.0</v>
      </c>
    </row>
    <row r="306" ht="15.75" customHeight="1">
      <c r="A306" s="1" t="s">
        <v>53</v>
      </c>
      <c r="B306" s="1">
        <v>36.0</v>
      </c>
      <c r="C306" s="1" t="s">
        <v>263</v>
      </c>
      <c r="D306" s="1">
        <v>7.0</v>
      </c>
    </row>
    <row r="307" ht="15.75" customHeight="1">
      <c r="A307" s="1" t="s">
        <v>97</v>
      </c>
      <c r="B307" s="1">
        <v>42.0</v>
      </c>
      <c r="C307" s="1" t="s">
        <v>104</v>
      </c>
      <c r="D307" s="1">
        <v>14.0</v>
      </c>
    </row>
    <row r="308" ht="15.75" customHeight="1">
      <c r="A308" s="1" t="s">
        <v>269</v>
      </c>
      <c r="B308" s="1">
        <v>38.0</v>
      </c>
      <c r="C308" s="1" t="s">
        <v>231</v>
      </c>
      <c r="D308" s="1">
        <v>34.0</v>
      </c>
    </row>
    <row r="309" ht="15.75" customHeight="1">
      <c r="A309" s="1" t="s">
        <v>83</v>
      </c>
      <c r="B309" s="1">
        <v>21.0</v>
      </c>
      <c r="C309" s="1" t="s">
        <v>234</v>
      </c>
      <c r="D309" s="1">
        <v>18.0</v>
      </c>
    </row>
    <row r="310" ht="15.75" customHeight="1">
      <c r="A310" s="1" t="s">
        <v>285</v>
      </c>
      <c r="B310" s="1">
        <v>41.0</v>
      </c>
      <c r="C310" s="1" t="s">
        <v>286</v>
      </c>
      <c r="D310" s="1">
        <v>34.0</v>
      </c>
    </row>
    <row r="311" ht="15.75" customHeight="1">
      <c r="A311" s="1" t="s">
        <v>115</v>
      </c>
      <c r="B311" s="1">
        <v>23.0</v>
      </c>
      <c r="C311" s="1" t="s">
        <v>283</v>
      </c>
      <c r="D311" s="1">
        <v>10.0</v>
      </c>
    </row>
    <row r="312" ht="15.75" customHeight="1">
      <c r="A312" s="1" t="s">
        <v>287</v>
      </c>
      <c r="B312" s="1">
        <v>45.0</v>
      </c>
      <c r="C312" s="1" t="s">
        <v>236</v>
      </c>
      <c r="D312" s="1">
        <v>24.0</v>
      </c>
    </row>
    <row r="313" ht="15.75" customHeight="1">
      <c r="A313" s="1" t="s">
        <v>240</v>
      </c>
      <c r="B313" s="1">
        <v>21.0</v>
      </c>
      <c r="C313" s="1" t="s">
        <v>112</v>
      </c>
      <c r="D313" s="1">
        <v>20.0</v>
      </c>
    </row>
    <row r="314" ht="15.75" customHeight="1">
      <c r="A314" s="1" t="s">
        <v>288</v>
      </c>
      <c r="B314" s="1">
        <v>34.0</v>
      </c>
      <c r="C314" s="1" t="s">
        <v>122</v>
      </c>
      <c r="D314" s="1">
        <v>28.0</v>
      </c>
    </row>
    <row r="315" ht="15.75" customHeight="1">
      <c r="A315" s="1" t="s">
        <v>65</v>
      </c>
      <c r="B315" s="1">
        <v>22.0</v>
      </c>
      <c r="C315" s="1" t="s">
        <v>208</v>
      </c>
      <c r="D315" s="1">
        <v>21.0</v>
      </c>
    </row>
    <row r="316" ht="15.75" customHeight="1">
      <c r="A316" s="1" t="s">
        <v>146</v>
      </c>
      <c r="B316" s="1">
        <v>21.0</v>
      </c>
      <c r="C316" s="1" t="s">
        <v>207</v>
      </c>
      <c r="D316" s="1">
        <v>20.0</v>
      </c>
    </row>
    <row r="317" ht="15.75" customHeight="1">
      <c r="A317" s="1" t="s">
        <v>289</v>
      </c>
      <c r="B317" s="1">
        <v>40.0</v>
      </c>
      <c r="C317" s="1" t="s">
        <v>106</v>
      </c>
      <c r="D317" s="1">
        <v>14.0</v>
      </c>
    </row>
    <row r="318" ht="15.75" customHeight="1">
      <c r="A318" s="1" t="s">
        <v>69</v>
      </c>
      <c r="B318" s="1">
        <v>48.0</v>
      </c>
      <c r="C318" s="1" t="s">
        <v>63</v>
      </c>
      <c r="D318" s="1">
        <v>21.0</v>
      </c>
    </row>
    <row r="319" ht="15.75" customHeight="1">
      <c r="A319" s="1" t="s">
        <v>162</v>
      </c>
      <c r="B319" s="1">
        <v>47.0</v>
      </c>
      <c r="C319" s="1" t="s">
        <v>61</v>
      </c>
      <c r="D319" s="1">
        <v>3.0</v>
      </c>
    </row>
    <row r="320" ht="15.75" customHeight="1">
      <c r="A320" s="1" t="s">
        <v>99</v>
      </c>
      <c r="B320" s="1">
        <v>21.0</v>
      </c>
      <c r="C320" s="1" t="s">
        <v>79</v>
      </c>
      <c r="D320" s="1">
        <v>20.0</v>
      </c>
    </row>
    <row r="321" ht="15.75" customHeight="1">
      <c r="A321" s="1" t="s">
        <v>132</v>
      </c>
      <c r="B321" s="1">
        <v>30.0</v>
      </c>
      <c r="C321" s="1" t="s">
        <v>225</v>
      </c>
      <c r="D321" s="1">
        <v>20.0</v>
      </c>
    </row>
    <row r="322" ht="15.75" customHeight="1">
      <c r="A322" s="1" t="s">
        <v>134</v>
      </c>
      <c r="B322" s="1">
        <v>52.0</v>
      </c>
      <c r="C322" s="1" t="s">
        <v>203</v>
      </c>
      <c r="D322" s="1">
        <v>33.0</v>
      </c>
    </row>
    <row r="323" ht="15.75" customHeight="1">
      <c r="A323" s="1" t="s">
        <v>102</v>
      </c>
      <c r="B323" s="1">
        <v>41.0</v>
      </c>
      <c r="C323" s="1" t="s">
        <v>290</v>
      </c>
      <c r="D323" s="1">
        <v>10.0</v>
      </c>
    </row>
    <row r="324" ht="15.75" customHeight="1">
      <c r="A324" s="1" t="s">
        <v>140</v>
      </c>
      <c r="B324" s="1">
        <v>17.0</v>
      </c>
      <c r="C324" s="1" t="s">
        <v>155</v>
      </c>
      <c r="D324" s="1">
        <v>10.0</v>
      </c>
    </row>
    <row r="325" ht="15.75" customHeight="1">
      <c r="A325" s="1" t="s">
        <v>125</v>
      </c>
      <c r="B325" s="1">
        <v>38.0</v>
      </c>
      <c r="C325" s="1" t="s">
        <v>138</v>
      </c>
      <c r="D325" s="1">
        <v>21.0</v>
      </c>
    </row>
    <row r="326" ht="15.75" customHeight="1">
      <c r="A326" s="1" t="s">
        <v>139</v>
      </c>
      <c r="B326" s="1">
        <v>42.0</v>
      </c>
      <c r="C326" s="1" t="s">
        <v>161</v>
      </c>
      <c r="D326" s="1">
        <v>28.0</v>
      </c>
    </row>
    <row r="327" ht="15.75" customHeight="1">
      <c r="A327" s="1" t="s">
        <v>291</v>
      </c>
      <c r="B327" s="1">
        <v>20.0</v>
      </c>
      <c r="C327" s="1" t="s">
        <v>181</v>
      </c>
      <c r="D327" s="1">
        <v>0.0</v>
      </c>
    </row>
    <row r="328" ht="15.75" customHeight="1">
      <c r="A328" s="1" t="s">
        <v>145</v>
      </c>
      <c r="B328" s="1">
        <v>63.0</v>
      </c>
      <c r="C328" s="1" t="s">
        <v>242</v>
      </c>
      <c r="D328" s="1">
        <v>7.0</v>
      </c>
    </row>
    <row r="329" ht="15.75" customHeight="1">
      <c r="A329" s="1" t="s">
        <v>292</v>
      </c>
      <c r="B329" s="1">
        <v>42.0</v>
      </c>
      <c r="C329" s="1" t="s">
        <v>284</v>
      </c>
      <c r="D329" s="1">
        <v>20.0</v>
      </c>
    </row>
    <row r="330" ht="15.75" customHeight="1">
      <c r="A330" s="1" t="s">
        <v>149</v>
      </c>
      <c r="B330" s="1">
        <v>20.0</v>
      </c>
      <c r="C330" s="1" t="s">
        <v>272</v>
      </c>
      <c r="D330" s="1">
        <v>17.0</v>
      </c>
    </row>
    <row r="331" ht="15.75" customHeight="1">
      <c r="A331" s="1" t="s">
        <v>153</v>
      </c>
      <c r="B331" s="1">
        <v>41.0</v>
      </c>
      <c r="C331" s="1" t="s">
        <v>95</v>
      </c>
      <c r="D331" s="1">
        <v>38.0</v>
      </c>
    </row>
    <row r="332" ht="15.75" customHeight="1">
      <c r="A332" s="1" t="s">
        <v>266</v>
      </c>
      <c r="B332" s="1">
        <v>42.0</v>
      </c>
      <c r="C332" s="1" t="s">
        <v>185</v>
      </c>
      <c r="D332" s="1">
        <v>10.0</v>
      </c>
    </row>
    <row r="333" ht="15.75" customHeight="1">
      <c r="A333" s="1" t="s">
        <v>75</v>
      </c>
      <c r="B333" s="1">
        <v>13.0</v>
      </c>
      <c r="C333" s="1" t="s">
        <v>179</v>
      </c>
      <c r="D333" s="1">
        <v>9.0</v>
      </c>
    </row>
    <row r="334" ht="15.75" customHeight="1">
      <c r="A334" s="1" t="s">
        <v>159</v>
      </c>
      <c r="B334" s="1">
        <v>27.0</v>
      </c>
      <c r="C334" s="1" t="s">
        <v>108</v>
      </c>
      <c r="D334" s="1">
        <v>20.0</v>
      </c>
    </row>
    <row r="335" ht="15.75" customHeight="1">
      <c r="A335" s="1" t="s">
        <v>163</v>
      </c>
      <c r="B335" s="1">
        <v>24.0</v>
      </c>
      <c r="C335" s="1" t="s">
        <v>169</v>
      </c>
      <c r="D335" s="1">
        <v>7.0</v>
      </c>
    </row>
    <row r="336" ht="15.75" customHeight="1">
      <c r="A336" s="1" t="s">
        <v>189</v>
      </c>
      <c r="B336" s="1">
        <v>23.0</v>
      </c>
      <c r="C336" s="1" t="s">
        <v>135</v>
      </c>
      <c r="D336" s="1">
        <v>20.0</v>
      </c>
    </row>
    <row r="337" ht="15.75" customHeight="1">
      <c r="A337" s="1" t="s">
        <v>270</v>
      </c>
      <c r="B337" s="1">
        <v>27.0</v>
      </c>
      <c r="C337" s="1" t="s">
        <v>80</v>
      </c>
      <c r="D337" s="1">
        <v>24.0</v>
      </c>
    </row>
    <row r="338" ht="15.75" customHeight="1">
      <c r="A338" s="1" t="s">
        <v>175</v>
      </c>
      <c r="B338" s="1">
        <v>41.0</v>
      </c>
      <c r="C338" s="1" t="s">
        <v>55</v>
      </c>
      <c r="D338" s="1">
        <v>18.0</v>
      </c>
    </row>
    <row r="339" ht="15.75" customHeight="1">
      <c r="A339" s="1" t="s">
        <v>177</v>
      </c>
      <c r="B339" s="1">
        <v>28.0</v>
      </c>
      <c r="C339" s="1" t="s">
        <v>204</v>
      </c>
      <c r="D339" s="1">
        <v>10.0</v>
      </c>
    </row>
    <row r="340" ht="15.75" customHeight="1">
      <c r="A340" s="1" t="s">
        <v>180</v>
      </c>
      <c r="B340" s="1">
        <v>59.0</v>
      </c>
      <c r="C340" s="1" t="s">
        <v>168</v>
      </c>
      <c r="D340" s="1">
        <v>14.0</v>
      </c>
    </row>
    <row r="341" ht="15.75" customHeight="1">
      <c r="A341" s="1" t="s">
        <v>50</v>
      </c>
      <c r="B341" s="1">
        <v>50.0</v>
      </c>
      <c r="C341" s="1" t="s">
        <v>182</v>
      </c>
      <c r="D341" s="1">
        <v>40.0</v>
      </c>
    </row>
    <row r="342" ht="15.75" customHeight="1">
      <c r="A342" s="1" t="s">
        <v>81</v>
      </c>
      <c r="B342" s="1">
        <v>24.0</v>
      </c>
      <c r="C342" s="1" t="s">
        <v>186</v>
      </c>
      <c r="D342" s="1">
        <v>17.0</v>
      </c>
    </row>
    <row r="343" ht="15.75" customHeight="1">
      <c r="A343" s="1" t="s">
        <v>184</v>
      </c>
      <c r="B343" s="1">
        <v>52.0</v>
      </c>
      <c r="C343" s="1" t="s">
        <v>91</v>
      </c>
      <c r="D343" s="1">
        <v>20.0</v>
      </c>
    </row>
    <row r="344" ht="15.75" customHeight="1">
      <c r="A344" s="1" t="s">
        <v>276</v>
      </c>
      <c r="B344" s="1">
        <v>31.0</v>
      </c>
      <c r="C344" s="1" t="s">
        <v>267</v>
      </c>
      <c r="D344" s="1">
        <v>24.0</v>
      </c>
    </row>
    <row r="345" ht="15.75" customHeight="1">
      <c r="A345" s="1" t="s">
        <v>216</v>
      </c>
      <c r="B345" s="1">
        <v>30.0</v>
      </c>
      <c r="C345" s="1" t="s">
        <v>193</v>
      </c>
      <c r="D345" s="1">
        <v>10.0</v>
      </c>
    </row>
    <row r="346" ht="15.75" customHeight="1">
      <c r="A346" s="1" t="s">
        <v>277</v>
      </c>
      <c r="B346" s="1">
        <v>38.0</v>
      </c>
      <c r="C346" s="1" t="s">
        <v>101</v>
      </c>
      <c r="D346" s="1">
        <v>7.0</v>
      </c>
    </row>
    <row r="347" ht="15.75" customHeight="1">
      <c r="A347" s="1" t="s">
        <v>281</v>
      </c>
      <c r="B347" s="1">
        <v>27.0</v>
      </c>
      <c r="C347" s="1" t="s">
        <v>120</v>
      </c>
      <c r="D347" s="1">
        <v>21.0</v>
      </c>
    </row>
    <row r="348" ht="15.75" customHeight="1">
      <c r="A348" s="1" t="s">
        <v>211</v>
      </c>
      <c r="B348" s="1">
        <v>30.0</v>
      </c>
      <c r="C348" s="1" t="s">
        <v>59</v>
      </c>
      <c r="D348" s="1">
        <v>27.0</v>
      </c>
    </row>
    <row r="349" ht="15.75" customHeight="1">
      <c r="A349" s="1" t="s">
        <v>293</v>
      </c>
      <c r="B349" s="1">
        <v>34.0</v>
      </c>
      <c r="C349" s="1" t="s">
        <v>227</v>
      </c>
      <c r="D349" s="1">
        <v>13.0</v>
      </c>
    </row>
    <row r="350" ht="15.75" customHeight="1">
      <c r="A350" s="1" t="s">
        <v>278</v>
      </c>
      <c r="B350" s="1">
        <v>21.0</v>
      </c>
      <c r="C350" s="1" t="s">
        <v>294</v>
      </c>
      <c r="D350" s="1">
        <v>7.0</v>
      </c>
    </row>
    <row r="351" ht="15.75" customHeight="1">
      <c r="A351" s="1" t="s">
        <v>206</v>
      </c>
      <c r="B351" s="1">
        <v>40.0</v>
      </c>
      <c r="C351" s="1" t="s">
        <v>221</v>
      </c>
      <c r="D351" s="1">
        <v>39.0</v>
      </c>
    </row>
    <row r="352" ht="15.75" customHeight="1">
      <c r="A352" s="1" t="s">
        <v>271</v>
      </c>
      <c r="B352" s="1">
        <v>38.0</v>
      </c>
      <c r="C352" s="1" t="s">
        <v>107</v>
      </c>
      <c r="D352" s="1">
        <v>21.0</v>
      </c>
    </row>
    <row r="353" ht="15.75" customHeight="1">
      <c r="A353" s="1" t="s">
        <v>51</v>
      </c>
      <c r="B353" s="1">
        <v>42.0</v>
      </c>
      <c r="C353" s="1" t="s">
        <v>48</v>
      </c>
      <c r="D353" s="1">
        <v>16.0</v>
      </c>
    </row>
    <row r="354" ht="15.75" customHeight="1">
      <c r="A354" s="1" t="s">
        <v>215</v>
      </c>
      <c r="B354" s="1">
        <v>42.0</v>
      </c>
      <c r="C354" s="1" t="s">
        <v>295</v>
      </c>
      <c r="D354" s="1">
        <v>14.0</v>
      </c>
    </row>
    <row r="355" ht="15.75" customHeight="1">
      <c r="A355" s="1" t="s">
        <v>148</v>
      </c>
      <c r="B355" s="1">
        <v>24.0</v>
      </c>
      <c r="C355" s="1" t="s">
        <v>226</v>
      </c>
      <c r="D355" s="1">
        <v>13.0</v>
      </c>
    </row>
    <row r="356" ht="15.75" customHeight="1">
      <c r="A356" s="1" t="s">
        <v>219</v>
      </c>
      <c r="B356" s="1">
        <v>35.0</v>
      </c>
      <c r="C356" s="1" t="s">
        <v>173</v>
      </c>
      <c r="D356" s="1">
        <v>13.0</v>
      </c>
    </row>
    <row r="357" ht="15.75" customHeight="1">
      <c r="A357" s="1" t="s">
        <v>282</v>
      </c>
      <c r="B357" s="1">
        <v>21.0</v>
      </c>
      <c r="C357" s="1" t="s">
        <v>57</v>
      </c>
      <c r="D357" s="1">
        <v>17.0</v>
      </c>
    </row>
    <row r="358" ht="15.75" customHeight="1">
      <c r="A358" s="1" t="s">
        <v>105</v>
      </c>
      <c r="B358" s="1">
        <v>38.0</v>
      </c>
      <c r="C358" s="1" t="s">
        <v>73</v>
      </c>
      <c r="D358" s="1">
        <v>27.0</v>
      </c>
    </row>
    <row r="359" ht="15.75" customHeight="1">
      <c r="A359" s="1" t="s">
        <v>223</v>
      </c>
      <c r="B359" s="1">
        <v>44.0</v>
      </c>
      <c r="C359" s="1" t="s">
        <v>130</v>
      </c>
      <c r="D359" s="1">
        <v>41.0</v>
      </c>
    </row>
    <row r="360" ht="15.75" customHeight="1">
      <c r="A360" s="1" t="s">
        <v>89</v>
      </c>
      <c r="B360" s="1">
        <v>45.0</v>
      </c>
      <c r="C360" s="1" t="s">
        <v>212</v>
      </c>
      <c r="D360" s="1">
        <v>10.0</v>
      </c>
    </row>
    <row r="361" ht="15.75" customHeight="1">
      <c r="A361" s="1" t="s">
        <v>117</v>
      </c>
      <c r="B361" s="1">
        <v>31.0</v>
      </c>
      <c r="C361" s="1" t="s">
        <v>109</v>
      </c>
      <c r="D361" s="1">
        <v>19.0</v>
      </c>
    </row>
    <row r="362" ht="15.75" customHeight="1">
      <c r="A362" s="1" t="s">
        <v>206</v>
      </c>
      <c r="B362" s="1">
        <v>41.0</v>
      </c>
      <c r="C362" s="1" t="s">
        <v>178</v>
      </c>
      <c r="D362" s="1">
        <v>21.0</v>
      </c>
    </row>
    <row r="363" ht="15.75" customHeight="1">
      <c r="A363" s="1" t="s">
        <v>221</v>
      </c>
      <c r="B363" s="1">
        <v>38.0</v>
      </c>
      <c r="C363" s="1" t="s">
        <v>179</v>
      </c>
      <c r="D363" s="1">
        <v>17.0</v>
      </c>
    </row>
    <row r="364" ht="15.75" customHeight="1">
      <c r="A364" s="1" t="s">
        <v>181</v>
      </c>
      <c r="B364" s="1">
        <v>30.0</v>
      </c>
      <c r="C364" s="1" t="s">
        <v>105</v>
      </c>
      <c r="D364" s="1">
        <v>19.0</v>
      </c>
    </row>
    <row r="365" ht="15.75" customHeight="1">
      <c r="A365" s="1" t="s">
        <v>68</v>
      </c>
      <c r="B365" s="1">
        <v>63.0</v>
      </c>
      <c r="C365" s="1" t="s">
        <v>226</v>
      </c>
      <c r="D365" s="1">
        <v>24.0</v>
      </c>
    </row>
    <row r="366" ht="15.75" customHeight="1">
      <c r="A366" s="1" t="s">
        <v>293</v>
      </c>
      <c r="B366" s="1">
        <v>31.0</v>
      </c>
      <c r="C366" s="1" t="s">
        <v>101</v>
      </c>
      <c r="D366" s="1">
        <v>10.0</v>
      </c>
    </row>
    <row r="367" ht="15.75" customHeight="1">
      <c r="A367" s="1" t="s">
        <v>215</v>
      </c>
      <c r="B367" s="1">
        <v>44.0</v>
      </c>
      <c r="C367" s="1" t="s">
        <v>296</v>
      </c>
      <c r="D367" s="1">
        <v>41.0</v>
      </c>
    </row>
    <row r="368" ht="15.75" customHeight="1">
      <c r="A368" s="1" t="s">
        <v>116</v>
      </c>
      <c r="B368" s="1">
        <v>35.0</v>
      </c>
      <c r="C368" s="1" t="s">
        <v>73</v>
      </c>
      <c r="D368" s="1">
        <v>31.0</v>
      </c>
    </row>
    <row r="369" ht="15.75" customHeight="1">
      <c r="A369" s="1" t="s">
        <v>57</v>
      </c>
      <c r="B369" s="1">
        <v>19.0</v>
      </c>
      <c r="C369" s="1" t="s">
        <v>280</v>
      </c>
      <c r="D369" s="1">
        <v>14.0</v>
      </c>
    </row>
    <row r="370" ht="15.75" customHeight="1">
      <c r="A370" s="1" t="s">
        <v>118</v>
      </c>
      <c r="B370" s="1">
        <v>18.0</v>
      </c>
      <c r="C370" s="1" t="s">
        <v>185</v>
      </c>
      <c r="D370" s="1">
        <v>16.0</v>
      </c>
    </row>
    <row r="371" ht="15.75" customHeight="1">
      <c r="A371" s="1" t="s">
        <v>97</v>
      </c>
      <c r="B371" s="1">
        <v>49.0</v>
      </c>
      <c r="C371" s="1" t="s">
        <v>91</v>
      </c>
      <c r="D371" s="1">
        <v>7.0</v>
      </c>
    </row>
    <row r="372" ht="15.75" customHeight="1">
      <c r="A372" s="1" t="s">
        <v>287</v>
      </c>
      <c r="B372" s="1">
        <v>62.0</v>
      </c>
      <c r="C372" s="1" t="s">
        <v>228</v>
      </c>
      <c r="D372" s="1">
        <v>30.0</v>
      </c>
    </row>
    <row r="373" ht="15.75" customHeight="1">
      <c r="A373" s="1" t="s">
        <v>59</v>
      </c>
      <c r="B373" s="1">
        <v>27.0</v>
      </c>
      <c r="C373" s="1" t="s">
        <v>193</v>
      </c>
      <c r="D373" s="1">
        <v>20.0</v>
      </c>
    </row>
    <row r="374" ht="15.75" customHeight="1">
      <c r="A374" s="1" t="s">
        <v>146</v>
      </c>
      <c r="B374" s="1">
        <v>55.0</v>
      </c>
      <c r="C374" s="1" t="s">
        <v>132</v>
      </c>
      <c r="D374" s="1">
        <v>24.0</v>
      </c>
    </row>
    <row r="375" ht="15.75" customHeight="1">
      <c r="A375" s="1" t="s">
        <v>289</v>
      </c>
      <c r="B375" s="1">
        <v>29.0</v>
      </c>
      <c r="C375" s="1" t="s">
        <v>48</v>
      </c>
      <c r="D375" s="1">
        <v>13.0</v>
      </c>
    </row>
    <row r="376" ht="15.75" customHeight="1">
      <c r="A376" s="1" t="s">
        <v>67</v>
      </c>
      <c r="B376" s="1">
        <v>45.0</v>
      </c>
      <c r="C376" s="1" t="s">
        <v>211</v>
      </c>
      <c r="D376" s="1">
        <v>37.0</v>
      </c>
    </row>
    <row r="377" ht="15.75" customHeight="1">
      <c r="A377" s="1" t="s">
        <v>162</v>
      </c>
      <c r="B377" s="1">
        <v>29.0</v>
      </c>
      <c r="C377" s="1" t="s">
        <v>104</v>
      </c>
      <c r="D377" s="1">
        <v>20.0</v>
      </c>
    </row>
    <row r="378" ht="15.75" customHeight="1">
      <c r="A378" s="1" t="s">
        <v>166</v>
      </c>
      <c r="B378" s="1">
        <v>24.0</v>
      </c>
      <c r="C378" s="1" t="s">
        <v>63</v>
      </c>
      <c r="D378" s="1">
        <v>13.0</v>
      </c>
    </row>
    <row r="379" ht="15.75" customHeight="1">
      <c r="A379" s="1" t="s">
        <v>286</v>
      </c>
      <c r="B379" s="1">
        <v>31.0</v>
      </c>
      <c r="C379" s="1" t="s">
        <v>120</v>
      </c>
      <c r="D379" s="1">
        <v>13.0</v>
      </c>
    </row>
    <row r="380" ht="15.75" customHeight="1">
      <c r="A380" s="1" t="s">
        <v>47</v>
      </c>
      <c r="B380" s="1">
        <v>24.0</v>
      </c>
      <c r="C380" s="1" t="s">
        <v>99</v>
      </c>
      <c r="D380" s="1">
        <v>14.0</v>
      </c>
    </row>
    <row r="381" ht="15.75" customHeight="1">
      <c r="A381" s="1" t="s">
        <v>297</v>
      </c>
      <c r="B381" s="1">
        <v>41.0</v>
      </c>
      <c r="C381" s="1" t="s">
        <v>188</v>
      </c>
      <c r="D381" s="1">
        <v>24.0</v>
      </c>
    </row>
    <row r="382" ht="15.75" customHeight="1">
      <c r="A382" s="1" t="s">
        <v>291</v>
      </c>
      <c r="B382" s="1">
        <v>43.0</v>
      </c>
      <c r="C382" s="1" t="s">
        <v>122</v>
      </c>
      <c r="D382" s="1">
        <v>21.0</v>
      </c>
    </row>
    <row r="383" ht="15.75" customHeight="1">
      <c r="A383" s="1" t="s">
        <v>153</v>
      </c>
      <c r="B383" s="1">
        <v>23.0</v>
      </c>
      <c r="C383" s="1" t="s">
        <v>150</v>
      </c>
      <c r="D383" s="1">
        <v>13.0</v>
      </c>
    </row>
    <row r="384" ht="15.75" customHeight="1">
      <c r="A384" s="1" t="s">
        <v>75</v>
      </c>
      <c r="B384" s="1">
        <v>21.0</v>
      </c>
      <c r="C384" s="1" t="s">
        <v>145</v>
      </c>
      <c r="D384" s="1">
        <v>19.0</v>
      </c>
    </row>
    <row r="385" ht="15.75" customHeight="1">
      <c r="A385" s="1" t="s">
        <v>159</v>
      </c>
      <c r="B385" s="1">
        <v>52.0</v>
      </c>
      <c r="C385" s="1" t="s">
        <v>113</v>
      </c>
      <c r="D385" s="1">
        <v>37.0</v>
      </c>
    </row>
    <row r="386" ht="15.75" customHeight="1">
      <c r="A386" s="1" t="s">
        <v>269</v>
      </c>
      <c r="B386" s="1">
        <v>39.0</v>
      </c>
      <c r="C386" s="1" t="s">
        <v>128</v>
      </c>
      <c r="D386" s="1">
        <v>38.0</v>
      </c>
    </row>
    <row r="387" ht="15.75" customHeight="1">
      <c r="A387" s="1" t="s">
        <v>80</v>
      </c>
      <c r="B387" s="1">
        <v>24.0</v>
      </c>
      <c r="C387" s="1" t="s">
        <v>271</v>
      </c>
      <c r="D387" s="1">
        <v>17.0</v>
      </c>
    </row>
    <row r="388" ht="15.75" customHeight="1">
      <c r="A388" s="1" t="s">
        <v>272</v>
      </c>
      <c r="B388" s="1">
        <v>27.0</v>
      </c>
      <c r="C388" s="1" t="s">
        <v>210</v>
      </c>
      <c r="D388" s="1">
        <v>3.0</v>
      </c>
    </row>
    <row r="389" ht="15.75" customHeight="1">
      <c r="A389" s="1" t="s">
        <v>175</v>
      </c>
      <c r="B389" s="1">
        <v>34.0</v>
      </c>
      <c r="C389" s="1" t="s">
        <v>109</v>
      </c>
      <c r="D389" s="1">
        <v>7.0</v>
      </c>
    </row>
    <row r="390" ht="15.75" customHeight="1">
      <c r="A390" s="1" t="s">
        <v>177</v>
      </c>
      <c r="B390" s="1">
        <v>14.0</v>
      </c>
      <c r="C390" s="1" t="s">
        <v>83</v>
      </c>
      <c r="D390" s="1">
        <v>7.0</v>
      </c>
    </row>
    <row r="391" ht="15.75" customHeight="1">
      <c r="A391" s="1" t="s">
        <v>186</v>
      </c>
      <c r="B391" s="1">
        <v>34.0</v>
      </c>
      <c r="C391" s="1" t="s">
        <v>135</v>
      </c>
      <c r="D391" s="1">
        <v>20.0</v>
      </c>
    </row>
    <row r="392" ht="15.75" customHeight="1">
      <c r="A392" s="1" t="s">
        <v>277</v>
      </c>
      <c r="B392" s="1">
        <v>35.0</v>
      </c>
      <c r="C392" s="1" t="s">
        <v>141</v>
      </c>
      <c r="D392" s="1">
        <v>7.0</v>
      </c>
    </row>
    <row r="393" ht="15.75" customHeight="1">
      <c r="A393" s="1" t="s">
        <v>198</v>
      </c>
      <c r="B393" s="1">
        <v>39.0</v>
      </c>
      <c r="C393" s="1" t="s">
        <v>220</v>
      </c>
      <c r="D393" s="1">
        <v>31.0</v>
      </c>
    </row>
    <row r="394" ht="15.75" customHeight="1">
      <c r="A394" s="1" t="s">
        <v>278</v>
      </c>
      <c r="B394" s="1">
        <v>27.0</v>
      </c>
      <c r="C394" s="1" t="s">
        <v>227</v>
      </c>
      <c r="D394" s="1">
        <v>11.0</v>
      </c>
    </row>
    <row r="395" ht="15.75" customHeight="1">
      <c r="A395" s="1" t="s">
        <v>202</v>
      </c>
      <c r="B395" s="1">
        <v>34.0</v>
      </c>
      <c r="C395" s="1" t="s">
        <v>79</v>
      </c>
      <c r="D395" s="1">
        <v>24.0</v>
      </c>
    </row>
    <row r="396" ht="15.75" customHeight="1">
      <c r="A396" s="1" t="s">
        <v>208</v>
      </c>
      <c r="B396" s="1">
        <v>27.0</v>
      </c>
      <c r="C396" s="1" t="s">
        <v>53</v>
      </c>
      <c r="D396" s="1">
        <v>24.0</v>
      </c>
    </row>
    <row r="397" ht="15.75" customHeight="1">
      <c r="A397" s="1" t="s">
        <v>85</v>
      </c>
      <c r="B397" s="1">
        <v>35.0</v>
      </c>
      <c r="C397" s="1" t="s">
        <v>52</v>
      </c>
      <c r="D397" s="1">
        <v>31.0</v>
      </c>
    </row>
    <row r="398" ht="15.75" customHeight="1">
      <c r="A398" s="1" t="s">
        <v>51</v>
      </c>
      <c r="B398" s="1">
        <v>34.0</v>
      </c>
      <c r="C398" s="1" t="s">
        <v>267</v>
      </c>
      <c r="D398" s="1">
        <v>27.0</v>
      </c>
    </row>
    <row r="399" ht="15.75" customHeight="1">
      <c r="A399" s="1" t="s">
        <v>282</v>
      </c>
      <c r="B399" s="1">
        <v>41.0</v>
      </c>
      <c r="C399" s="1" t="s">
        <v>273</v>
      </c>
      <c r="D399" s="1">
        <v>10.0</v>
      </c>
    </row>
    <row r="400" ht="15.75" customHeight="1">
      <c r="A400" s="1" t="s">
        <v>223</v>
      </c>
      <c r="B400" s="1">
        <v>28.0</v>
      </c>
      <c r="C400" s="1" t="s">
        <v>115</v>
      </c>
      <c r="D400" s="1">
        <v>22.0</v>
      </c>
    </row>
    <row r="401" ht="15.75" customHeight="1">
      <c r="A401" s="1" t="s">
        <v>87</v>
      </c>
      <c r="B401" s="1">
        <v>30.0</v>
      </c>
      <c r="C401" s="1" t="s">
        <v>189</v>
      </c>
      <c r="D401" s="1">
        <v>20.0</v>
      </c>
    </row>
    <row r="402" ht="15.75" customHeight="1">
      <c r="A402" s="1" t="s">
        <v>89</v>
      </c>
      <c r="B402" s="1">
        <v>71.0</v>
      </c>
      <c r="C402" s="1" t="s">
        <v>55</v>
      </c>
      <c r="D402" s="1">
        <v>20.0</v>
      </c>
    </row>
    <row r="403" ht="15.75" customHeight="1">
      <c r="A403" s="1" t="s">
        <v>230</v>
      </c>
      <c r="B403" s="1">
        <v>40.0</v>
      </c>
      <c r="C403" s="1" t="s">
        <v>285</v>
      </c>
      <c r="D403" s="1">
        <v>35.0</v>
      </c>
    </row>
    <row r="404" ht="15.75" customHeight="1">
      <c r="A404" s="1" t="s">
        <v>232</v>
      </c>
      <c r="B404" s="1">
        <v>24.0</v>
      </c>
      <c r="C404" s="1" t="s">
        <v>240</v>
      </c>
      <c r="D404" s="1">
        <v>14.0</v>
      </c>
    </row>
    <row r="405" ht="15.75" customHeight="1">
      <c r="A405" s="1" t="s">
        <v>231</v>
      </c>
      <c r="B405" s="1">
        <v>31.0</v>
      </c>
      <c r="C405" s="1" t="s">
        <v>106</v>
      </c>
      <c r="D405" s="1">
        <v>7.0</v>
      </c>
    </row>
    <row r="406" ht="15.75" customHeight="1">
      <c r="A406" s="1" t="s">
        <v>95</v>
      </c>
      <c r="B406" s="1">
        <v>34.0</v>
      </c>
      <c r="C406" s="1" t="s">
        <v>81</v>
      </c>
      <c r="D406" s="1">
        <v>30.0</v>
      </c>
    </row>
    <row r="407" ht="15.75" customHeight="1">
      <c r="A407" s="1" t="s">
        <v>234</v>
      </c>
      <c r="B407" s="1">
        <v>27.0</v>
      </c>
      <c r="C407" s="1" t="s">
        <v>270</v>
      </c>
      <c r="D407" s="1">
        <v>17.0</v>
      </c>
    </row>
    <row r="408" ht="15.75" customHeight="1">
      <c r="A408" s="1" t="s">
        <v>201</v>
      </c>
      <c r="B408" s="1">
        <v>38.0</v>
      </c>
      <c r="C408" s="1" t="s">
        <v>194</v>
      </c>
      <c r="D408" s="1">
        <v>14.0</v>
      </c>
    </row>
    <row r="409" ht="15.75" customHeight="1">
      <c r="A409" s="1" t="s">
        <v>108</v>
      </c>
      <c r="B409" s="1">
        <v>45.0</v>
      </c>
      <c r="C409" s="1" t="s">
        <v>242</v>
      </c>
      <c r="D409" s="1">
        <v>42.0</v>
      </c>
    </row>
    <row r="410" ht="15.75" customHeight="1">
      <c r="A410" s="1" t="s">
        <v>107</v>
      </c>
      <c r="B410" s="1">
        <v>52.0</v>
      </c>
      <c r="C410" s="1" t="s">
        <v>204</v>
      </c>
      <c r="D410" s="1">
        <v>6.0</v>
      </c>
    </row>
    <row r="411" ht="15.75" customHeight="1">
      <c r="A411" s="1" t="s">
        <v>151</v>
      </c>
      <c r="B411" s="1">
        <v>31.0</v>
      </c>
      <c r="C411" s="1" t="s">
        <v>140</v>
      </c>
      <c r="D411" s="1">
        <v>24.0</v>
      </c>
    </row>
    <row r="412" ht="15.75" customHeight="1">
      <c r="A412" s="1" t="s">
        <v>68</v>
      </c>
      <c r="B412" s="1">
        <v>54.0</v>
      </c>
      <c r="C412" s="1" t="s">
        <v>182</v>
      </c>
      <c r="D412" s="1">
        <v>13.0</v>
      </c>
    </row>
    <row r="413" ht="15.75" customHeight="1">
      <c r="A413" s="1" t="s">
        <v>145</v>
      </c>
      <c r="B413" s="1">
        <v>39.0</v>
      </c>
      <c r="C413" s="1" t="s">
        <v>67</v>
      </c>
      <c r="D413" s="1">
        <v>7.0</v>
      </c>
    </row>
    <row r="414" ht="15.75" customHeight="1">
      <c r="A414" s="1" t="s">
        <v>155</v>
      </c>
      <c r="B414" s="1">
        <v>48.0</v>
      </c>
      <c r="C414" s="1" t="s">
        <v>169</v>
      </c>
      <c r="D414" s="1">
        <v>21.0</v>
      </c>
    </row>
    <row r="415" ht="15.75" customHeight="1">
      <c r="A415" s="1" t="s">
        <v>112</v>
      </c>
      <c r="B415" s="1">
        <v>44.0</v>
      </c>
      <c r="C415" s="1" t="s">
        <v>178</v>
      </c>
      <c r="D415" s="1">
        <v>17.0</v>
      </c>
    </row>
    <row r="416" ht="15.75" customHeight="1">
      <c r="A416" s="1" t="s">
        <v>116</v>
      </c>
      <c r="B416" s="1">
        <v>27.0</v>
      </c>
      <c r="C416" s="1" t="s">
        <v>283</v>
      </c>
      <c r="D416" s="1">
        <v>19.0</v>
      </c>
    </row>
    <row r="417" ht="15.75" customHeight="1">
      <c r="A417" s="1" t="s">
        <v>180</v>
      </c>
      <c r="B417" s="1">
        <v>50.0</v>
      </c>
      <c r="C417" s="1" t="s">
        <v>228</v>
      </c>
      <c r="D417" s="1">
        <v>34.0</v>
      </c>
    </row>
    <row r="418" ht="15.75" customHeight="1">
      <c r="A418" s="1" t="s">
        <v>188</v>
      </c>
      <c r="B418" s="1">
        <v>37.0</v>
      </c>
      <c r="C418" s="1" t="s">
        <v>161</v>
      </c>
      <c r="D418" s="1">
        <v>10.0</v>
      </c>
    </row>
    <row r="419" ht="15.75" customHeight="1">
      <c r="A419" s="1" t="s">
        <v>285</v>
      </c>
      <c r="B419" s="1">
        <v>27.0</v>
      </c>
      <c r="C419" s="1" t="s">
        <v>210</v>
      </c>
      <c r="D419" s="1">
        <v>25.0</v>
      </c>
    </row>
    <row r="420" ht="15.75" customHeight="1">
      <c r="A420" s="1" t="s">
        <v>97</v>
      </c>
      <c r="B420" s="1">
        <v>44.0</v>
      </c>
      <c r="C420" s="1" t="s">
        <v>55</v>
      </c>
      <c r="D420" s="1">
        <v>10.0</v>
      </c>
    </row>
    <row r="421" ht="15.75" customHeight="1">
      <c r="A421" s="1" t="s">
        <v>242</v>
      </c>
      <c r="B421" s="1">
        <v>37.0</v>
      </c>
      <c r="C421" s="1" t="s">
        <v>203</v>
      </c>
      <c r="D421" s="1">
        <v>35.0</v>
      </c>
    </row>
    <row r="422" ht="15.75" customHeight="1">
      <c r="A422" s="1" t="s">
        <v>287</v>
      </c>
      <c r="B422" s="1">
        <v>28.0</v>
      </c>
      <c r="C422" s="1" t="s">
        <v>53</v>
      </c>
      <c r="D422" s="1">
        <v>7.0</v>
      </c>
    </row>
    <row r="423" ht="15.75" customHeight="1">
      <c r="A423" s="1" t="s">
        <v>288</v>
      </c>
      <c r="B423" s="1">
        <v>41.0</v>
      </c>
      <c r="C423" s="1" t="s">
        <v>115</v>
      </c>
      <c r="D423" s="1">
        <v>19.0</v>
      </c>
    </row>
    <row r="424" ht="15.75" customHeight="1">
      <c r="A424" s="1" t="s">
        <v>61</v>
      </c>
      <c r="B424" s="1">
        <v>30.0</v>
      </c>
      <c r="C424" s="1" t="s">
        <v>87</v>
      </c>
      <c r="D424" s="1">
        <v>15.0</v>
      </c>
    </row>
    <row r="425" ht="15.75" customHeight="1">
      <c r="A425" s="1" t="s">
        <v>130</v>
      </c>
      <c r="B425" s="1">
        <v>19.0</v>
      </c>
      <c r="C425" s="1" t="s">
        <v>63</v>
      </c>
      <c r="D425" s="1">
        <v>13.0</v>
      </c>
    </row>
    <row r="426" ht="15.75" customHeight="1">
      <c r="A426" s="1" t="s">
        <v>289</v>
      </c>
      <c r="B426" s="1">
        <v>49.0</v>
      </c>
      <c r="C426" s="1" t="s">
        <v>95</v>
      </c>
      <c r="D426" s="1">
        <v>14.0</v>
      </c>
    </row>
    <row r="427" ht="15.75" customHeight="1">
      <c r="A427" s="1" t="s">
        <v>220</v>
      </c>
      <c r="B427" s="1">
        <v>31.0</v>
      </c>
      <c r="C427" s="1" t="s">
        <v>85</v>
      </c>
      <c r="D427" s="1">
        <v>24.0</v>
      </c>
    </row>
    <row r="428" ht="15.75" customHeight="1">
      <c r="A428" s="1" t="s">
        <v>286</v>
      </c>
      <c r="B428" s="1">
        <v>41.0</v>
      </c>
      <c r="C428" s="1" t="s">
        <v>173</v>
      </c>
      <c r="D428" s="1">
        <v>31.0</v>
      </c>
    </row>
    <row r="429" ht="15.75" customHeight="1">
      <c r="A429" s="1" t="s">
        <v>125</v>
      </c>
      <c r="B429" s="1">
        <v>24.0</v>
      </c>
      <c r="C429" s="1" t="s">
        <v>159</v>
      </c>
      <c r="D429" s="1">
        <v>23.0</v>
      </c>
    </row>
    <row r="430" ht="15.75" customHeight="1">
      <c r="A430" s="1" t="s">
        <v>47</v>
      </c>
      <c r="B430" s="1">
        <v>41.0</v>
      </c>
      <c r="C430" s="1" t="s">
        <v>79</v>
      </c>
      <c r="D430" s="1">
        <v>34.0</v>
      </c>
    </row>
    <row r="431" ht="15.75" customHeight="1">
      <c r="A431" s="1" t="s">
        <v>294</v>
      </c>
      <c r="B431" s="1">
        <v>50.0</v>
      </c>
      <c r="C431" s="1" t="s">
        <v>204</v>
      </c>
      <c r="D431" s="1">
        <v>49.0</v>
      </c>
    </row>
    <row r="432" ht="15.75" customHeight="1">
      <c r="A432" s="1" t="s">
        <v>141</v>
      </c>
      <c r="B432" s="1">
        <v>40.0</v>
      </c>
      <c r="C432" s="1" t="s">
        <v>234</v>
      </c>
      <c r="D432" s="1">
        <v>16.0</v>
      </c>
    </row>
    <row r="433" ht="15.75" customHeight="1">
      <c r="A433" s="1" t="s">
        <v>291</v>
      </c>
      <c r="B433" s="1">
        <v>28.0</v>
      </c>
      <c r="C433" s="1" t="s">
        <v>201</v>
      </c>
      <c r="D433" s="1">
        <v>16.0</v>
      </c>
    </row>
    <row r="434" ht="15.75" customHeight="1">
      <c r="A434" s="1" t="s">
        <v>292</v>
      </c>
      <c r="B434" s="1">
        <v>31.0</v>
      </c>
      <c r="C434" s="1" t="s">
        <v>69</v>
      </c>
      <c r="D434" s="1">
        <v>28.0</v>
      </c>
    </row>
    <row r="435" ht="15.75" customHeight="1">
      <c r="A435" s="1" t="s">
        <v>153</v>
      </c>
      <c r="B435" s="1">
        <v>34.0</v>
      </c>
      <c r="C435" s="1" t="s">
        <v>113</v>
      </c>
      <c r="D435" s="1">
        <v>24.0</v>
      </c>
    </row>
    <row r="436" ht="15.75" customHeight="1">
      <c r="A436" s="1" t="s">
        <v>266</v>
      </c>
      <c r="B436" s="1">
        <v>29.0</v>
      </c>
      <c r="C436" s="1" t="s">
        <v>272</v>
      </c>
      <c r="D436" s="1">
        <v>26.0</v>
      </c>
    </row>
    <row r="437" ht="15.75" customHeight="1">
      <c r="A437" s="1" t="s">
        <v>75</v>
      </c>
      <c r="B437" s="1">
        <v>38.0</v>
      </c>
      <c r="C437" s="1" t="s">
        <v>150</v>
      </c>
      <c r="D437" s="1">
        <v>21.0</v>
      </c>
    </row>
    <row r="438" ht="15.75" customHeight="1">
      <c r="A438" s="1" t="s">
        <v>157</v>
      </c>
      <c r="B438" s="1">
        <v>24.0</v>
      </c>
      <c r="C438" s="1" t="s">
        <v>232</v>
      </c>
      <c r="D438" s="1">
        <v>20.0</v>
      </c>
    </row>
    <row r="439" ht="15.75" customHeight="1">
      <c r="A439" s="1" t="s">
        <v>163</v>
      </c>
      <c r="B439" s="1">
        <v>21.0</v>
      </c>
      <c r="C439" s="1" t="s">
        <v>212</v>
      </c>
      <c r="D439" s="1">
        <v>3.0</v>
      </c>
    </row>
    <row r="440" ht="15.75" customHeight="1">
      <c r="A440" s="1" t="s">
        <v>189</v>
      </c>
      <c r="B440" s="1">
        <v>38.0</v>
      </c>
      <c r="C440" s="1" t="s">
        <v>134</v>
      </c>
      <c r="D440" s="1">
        <v>14.0</v>
      </c>
    </row>
    <row r="441" ht="15.75" customHeight="1">
      <c r="A441" s="1" t="s">
        <v>80</v>
      </c>
      <c r="B441" s="1">
        <v>21.0</v>
      </c>
      <c r="C441" s="1" t="s">
        <v>227</v>
      </c>
      <c r="D441" s="1">
        <v>17.0</v>
      </c>
    </row>
    <row r="442" ht="15.75" customHeight="1">
      <c r="A442" s="1" t="s">
        <v>273</v>
      </c>
      <c r="B442" s="1">
        <v>45.0</v>
      </c>
      <c r="C442" s="1" t="s">
        <v>135</v>
      </c>
      <c r="D442" s="1">
        <v>3.0</v>
      </c>
    </row>
    <row r="443" ht="15.75" customHeight="1">
      <c r="A443" s="1" t="s">
        <v>52</v>
      </c>
      <c r="B443" s="1">
        <v>42.0</v>
      </c>
      <c r="C443" s="1" t="s">
        <v>198</v>
      </c>
      <c r="D443" s="1">
        <v>37.0</v>
      </c>
    </row>
    <row r="444" ht="15.75" customHeight="1">
      <c r="A444" s="1" t="s">
        <v>50</v>
      </c>
      <c r="B444" s="1">
        <v>52.0</v>
      </c>
      <c r="C444" s="1" t="s">
        <v>109</v>
      </c>
      <c r="D444" s="1">
        <v>37.0</v>
      </c>
    </row>
    <row r="445" ht="15.75" customHeight="1">
      <c r="A445" s="1" t="s">
        <v>184</v>
      </c>
      <c r="B445" s="1">
        <v>41.0</v>
      </c>
      <c r="C445" s="1" t="s">
        <v>102</v>
      </c>
      <c r="D445" s="1">
        <v>37.0</v>
      </c>
    </row>
    <row r="446" ht="15.75" customHeight="1">
      <c r="A446" s="1" t="s">
        <v>186</v>
      </c>
      <c r="B446" s="1">
        <v>17.0</v>
      </c>
      <c r="C446" s="1" t="s">
        <v>59</v>
      </c>
      <c r="D446" s="1">
        <v>7.0</v>
      </c>
    </row>
    <row r="447" ht="15.75" customHeight="1">
      <c r="A447" s="1" t="s">
        <v>276</v>
      </c>
      <c r="B447" s="1">
        <v>49.0</v>
      </c>
      <c r="C447" s="1" t="s">
        <v>106</v>
      </c>
      <c r="D447" s="1">
        <v>7.0</v>
      </c>
    </row>
    <row r="448" ht="15.75" customHeight="1">
      <c r="A448" s="1" t="s">
        <v>216</v>
      </c>
      <c r="B448" s="1">
        <v>27.0</v>
      </c>
      <c r="C448" s="1" t="s">
        <v>65</v>
      </c>
      <c r="D448" s="1">
        <v>25.0</v>
      </c>
    </row>
    <row r="449" ht="15.75" customHeight="1">
      <c r="A449" s="1" t="s">
        <v>211</v>
      </c>
      <c r="B449" s="1">
        <v>21.0</v>
      </c>
      <c r="C449" s="1" t="s">
        <v>138</v>
      </c>
      <c r="D449" s="1">
        <v>14.0</v>
      </c>
    </row>
    <row r="450" ht="15.75" customHeight="1">
      <c r="A450" s="1" t="s">
        <v>293</v>
      </c>
      <c r="B450" s="1">
        <v>32.0</v>
      </c>
      <c r="C450" s="1" t="s">
        <v>277</v>
      </c>
      <c r="D450" s="1">
        <v>31.0</v>
      </c>
    </row>
    <row r="451" ht="15.75" customHeight="1">
      <c r="A451" s="1" t="s">
        <v>278</v>
      </c>
      <c r="B451" s="1">
        <v>33.0</v>
      </c>
      <c r="C451" s="1" t="s">
        <v>238</v>
      </c>
      <c r="D451" s="1">
        <v>30.0</v>
      </c>
    </row>
    <row r="452" ht="15.75" customHeight="1">
      <c r="A452" s="1" t="s">
        <v>298</v>
      </c>
      <c r="B452" s="1">
        <v>17.0</v>
      </c>
      <c r="C452" s="1" t="s">
        <v>128</v>
      </c>
      <c r="D452" s="1">
        <v>15.0</v>
      </c>
    </row>
    <row r="453" ht="15.75" customHeight="1">
      <c r="A453" s="1" t="s">
        <v>207</v>
      </c>
      <c r="B453" s="1">
        <v>29.0</v>
      </c>
      <c r="C453" s="1" t="s">
        <v>225</v>
      </c>
      <c r="D453" s="1">
        <v>27.0</v>
      </c>
    </row>
    <row r="454" ht="15.75" customHeight="1">
      <c r="A454" s="1" t="s">
        <v>208</v>
      </c>
      <c r="B454" s="1">
        <v>27.0</v>
      </c>
      <c r="C454" s="1" t="s">
        <v>117</v>
      </c>
      <c r="D454" s="1">
        <v>24.0</v>
      </c>
    </row>
    <row r="455" ht="15.75" customHeight="1">
      <c r="A455" s="1" t="s">
        <v>215</v>
      </c>
      <c r="B455" s="1">
        <v>24.0</v>
      </c>
      <c r="C455" s="1" t="s">
        <v>81</v>
      </c>
      <c r="D455" s="1">
        <v>17.0</v>
      </c>
    </row>
    <row r="456" ht="15.75" customHeight="1">
      <c r="A456" s="1" t="s">
        <v>280</v>
      </c>
      <c r="B456" s="1">
        <v>23.0</v>
      </c>
      <c r="C456" s="1" t="s">
        <v>166</v>
      </c>
      <c r="D456" s="1">
        <v>17.0</v>
      </c>
    </row>
    <row r="457" ht="15.75" customHeight="1">
      <c r="A457" s="1" t="s">
        <v>299</v>
      </c>
      <c r="B457" s="1">
        <v>34.0</v>
      </c>
      <c r="C457" s="1" t="s">
        <v>281</v>
      </c>
      <c r="D457" s="1">
        <v>3.0</v>
      </c>
    </row>
    <row r="458" ht="15.75" customHeight="1">
      <c r="A458" s="1" t="s">
        <v>221</v>
      </c>
      <c r="B458" s="1">
        <v>41.0</v>
      </c>
      <c r="C458" s="1" t="s">
        <v>118</v>
      </c>
      <c r="D458" s="1">
        <v>9.0</v>
      </c>
    </row>
    <row r="459" ht="15.75" customHeight="1">
      <c r="A459" s="1" t="s">
        <v>230</v>
      </c>
      <c r="B459" s="1">
        <v>20.0</v>
      </c>
      <c r="C459" s="1" t="s">
        <v>149</v>
      </c>
      <c r="D459" s="1">
        <v>13.0</v>
      </c>
    </row>
    <row r="460" ht="15.75" customHeight="1">
      <c r="A460" s="1" t="s">
        <v>236</v>
      </c>
      <c r="B460" s="1">
        <v>25.0</v>
      </c>
      <c r="C460" s="1" t="s">
        <v>168</v>
      </c>
      <c r="D460" s="1">
        <v>17.0</v>
      </c>
    </row>
    <row r="461" ht="15.75" customHeight="1">
      <c r="A461" s="1" t="s">
        <v>108</v>
      </c>
      <c r="B461" s="1">
        <v>34.0</v>
      </c>
      <c r="C461" s="1" t="s">
        <v>193</v>
      </c>
      <c r="D461" s="1">
        <v>24.0</v>
      </c>
    </row>
    <row r="462" ht="15.75" customHeight="1">
      <c r="A462" s="1" t="s">
        <v>107</v>
      </c>
      <c r="B462" s="1">
        <v>42.0</v>
      </c>
      <c r="C462" s="1" t="s">
        <v>83</v>
      </c>
      <c r="D462" s="1">
        <v>7.0</v>
      </c>
    </row>
    <row r="463" ht="15.75" customHeight="1">
      <c r="A463" s="1" t="s">
        <v>169</v>
      </c>
      <c r="B463" s="1">
        <v>14.0</v>
      </c>
      <c r="C463" s="1" t="s">
        <v>226</v>
      </c>
      <c r="D463" s="1">
        <v>5.0</v>
      </c>
    </row>
    <row r="464" ht="15.75" customHeight="1">
      <c r="A464" s="1" t="s">
        <v>182</v>
      </c>
      <c r="B464" s="1">
        <v>33.0</v>
      </c>
      <c r="C464" s="1" t="s">
        <v>155</v>
      </c>
      <c r="D464" s="1">
        <v>30.0</v>
      </c>
    </row>
    <row r="465" ht="15.75" customHeight="1">
      <c r="A465" s="1" t="s">
        <v>185</v>
      </c>
      <c r="B465" s="1">
        <v>25.0</v>
      </c>
      <c r="C465" s="1" t="s">
        <v>179</v>
      </c>
      <c r="D465" s="1">
        <v>9.0</v>
      </c>
    </row>
    <row r="466" ht="15.75" customHeight="1">
      <c r="A466" s="1" t="s">
        <v>178</v>
      </c>
      <c r="B466" s="1">
        <v>30.0</v>
      </c>
      <c r="C466" s="1" t="s">
        <v>140</v>
      </c>
      <c r="D466" s="1">
        <v>21.0</v>
      </c>
    </row>
    <row r="467" ht="15.75" customHeight="1">
      <c r="A467" s="1" t="s">
        <v>112</v>
      </c>
      <c r="B467" s="1">
        <v>31.0</v>
      </c>
      <c r="C467" s="1" t="s">
        <v>206</v>
      </c>
      <c r="D467" s="1">
        <v>14.0</v>
      </c>
    </row>
    <row r="468" ht="15.75" customHeight="1">
      <c r="A468" s="1" t="s">
        <v>159</v>
      </c>
      <c r="B468" s="1">
        <v>35.0</v>
      </c>
      <c r="C468" s="1" t="s">
        <v>138</v>
      </c>
      <c r="D468" s="1">
        <v>20.0</v>
      </c>
    </row>
    <row r="469" ht="15.75" customHeight="1">
      <c r="A469" s="1" t="s">
        <v>231</v>
      </c>
      <c r="B469" s="1">
        <v>42.0</v>
      </c>
      <c r="C469" s="1" t="s">
        <v>240</v>
      </c>
      <c r="D469" s="1">
        <v>21.0</v>
      </c>
    </row>
    <row r="470" ht="15.75" customHeight="1">
      <c r="A470" s="1" t="s">
        <v>288</v>
      </c>
      <c r="B470" s="1">
        <v>38.0</v>
      </c>
      <c r="C470" s="1" t="s">
        <v>194</v>
      </c>
      <c r="D470" s="1">
        <v>35.0</v>
      </c>
    </row>
    <row r="471" ht="15.75" customHeight="1">
      <c r="A471" s="1" t="s">
        <v>99</v>
      </c>
      <c r="B471" s="1">
        <v>23.0</v>
      </c>
      <c r="C471" s="1" t="s">
        <v>48</v>
      </c>
      <c r="D471" s="1">
        <v>16.0</v>
      </c>
    </row>
    <row r="472" ht="15.75" customHeight="1">
      <c r="A472" s="1" t="s">
        <v>168</v>
      </c>
      <c r="B472" s="1">
        <v>24.0</v>
      </c>
      <c r="C472" s="1" t="s">
        <v>52</v>
      </c>
      <c r="D472" s="1">
        <v>21.0</v>
      </c>
    </row>
    <row r="473" ht="15.75" customHeight="1">
      <c r="A473" s="1" t="s">
        <v>293</v>
      </c>
      <c r="B473" s="1">
        <v>35.0</v>
      </c>
      <c r="C473" s="1" t="s">
        <v>204</v>
      </c>
      <c r="D473" s="1">
        <v>0.0</v>
      </c>
    </row>
    <row r="474" ht="15.75" customHeight="1">
      <c r="A474" s="1" t="s">
        <v>118</v>
      </c>
      <c r="B474" s="1">
        <v>44.0</v>
      </c>
      <c r="C474" s="1" t="s">
        <v>150</v>
      </c>
      <c r="D474" s="1">
        <v>28.0</v>
      </c>
    </row>
    <row r="475" ht="15.75" customHeight="1">
      <c r="A475" s="1" t="s">
        <v>300</v>
      </c>
      <c r="B475" s="1">
        <v>45.0</v>
      </c>
      <c r="C475" s="1" t="s">
        <v>132</v>
      </c>
      <c r="D475" s="1">
        <v>28.0</v>
      </c>
    </row>
    <row r="476" ht="15.75" customHeight="1">
      <c r="A476" s="1" t="s">
        <v>122</v>
      </c>
      <c r="B476" s="1">
        <v>59.0</v>
      </c>
      <c r="C476" s="1" t="s">
        <v>223</v>
      </c>
      <c r="D476" s="1">
        <v>35.0</v>
      </c>
    </row>
    <row r="477" ht="15.75" customHeight="1">
      <c r="A477" s="1" t="s">
        <v>59</v>
      </c>
      <c r="B477" s="1">
        <v>27.0</v>
      </c>
      <c r="C477" s="1" t="s">
        <v>203</v>
      </c>
      <c r="D477" s="1">
        <v>6.0</v>
      </c>
    </row>
    <row r="478" ht="15.75" customHeight="1">
      <c r="A478" s="1" t="s">
        <v>130</v>
      </c>
      <c r="B478" s="1">
        <v>24.0</v>
      </c>
      <c r="C478" s="1" t="s">
        <v>116</v>
      </c>
      <c r="D478" s="1">
        <v>14.0</v>
      </c>
    </row>
    <row r="479" ht="15.75" customHeight="1">
      <c r="A479" s="1" t="s">
        <v>289</v>
      </c>
      <c r="B479" s="1">
        <v>48.0</v>
      </c>
      <c r="C479" s="1" t="s">
        <v>232</v>
      </c>
      <c r="D479" s="1">
        <v>31.0</v>
      </c>
    </row>
    <row r="480" ht="15.75" customHeight="1">
      <c r="A480" s="1" t="s">
        <v>69</v>
      </c>
      <c r="B480" s="1">
        <v>34.0</v>
      </c>
      <c r="C480" s="1" t="s">
        <v>115</v>
      </c>
      <c r="D480" s="1">
        <v>7.0</v>
      </c>
    </row>
    <row r="481" ht="15.75" customHeight="1">
      <c r="A481" s="1" t="s">
        <v>220</v>
      </c>
      <c r="B481" s="1">
        <v>21.0</v>
      </c>
      <c r="C481" s="1" t="s">
        <v>109</v>
      </c>
      <c r="D481" s="1">
        <v>13.0</v>
      </c>
    </row>
    <row r="482" ht="15.75" customHeight="1">
      <c r="A482" s="1" t="s">
        <v>134</v>
      </c>
      <c r="B482" s="1">
        <v>38.0</v>
      </c>
      <c r="C482" s="1" t="s">
        <v>65</v>
      </c>
      <c r="D482" s="1">
        <v>34.0</v>
      </c>
    </row>
    <row r="483" ht="15.75" customHeight="1">
      <c r="A483" s="1" t="s">
        <v>166</v>
      </c>
      <c r="B483" s="1">
        <v>48.0</v>
      </c>
      <c r="C483" s="1" t="s">
        <v>149</v>
      </c>
      <c r="D483" s="1">
        <v>20.0</v>
      </c>
    </row>
    <row r="484" ht="15.75" customHeight="1">
      <c r="A484" s="1" t="s">
        <v>286</v>
      </c>
      <c r="B484" s="1">
        <v>30.0</v>
      </c>
      <c r="C484" s="1" t="s">
        <v>299</v>
      </c>
      <c r="D484" s="1">
        <v>15.0</v>
      </c>
    </row>
    <row r="485" ht="15.75" customHeight="1">
      <c r="A485" s="1" t="s">
        <v>125</v>
      </c>
      <c r="B485" s="1">
        <v>28.0</v>
      </c>
      <c r="C485" s="1" t="s">
        <v>145</v>
      </c>
      <c r="D485" s="1">
        <v>14.0</v>
      </c>
    </row>
    <row r="486" ht="15.75" customHeight="1">
      <c r="A486" s="1" t="s">
        <v>294</v>
      </c>
      <c r="B486" s="1">
        <v>21.0</v>
      </c>
      <c r="C486" s="1" t="s">
        <v>270</v>
      </c>
      <c r="D486" s="1">
        <v>7.0</v>
      </c>
    </row>
    <row r="487" ht="15.75" customHeight="1">
      <c r="A487" s="1" t="s">
        <v>297</v>
      </c>
      <c r="B487" s="1">
        <v>56.0</v>
      </c>
      <c r="C487" s="1" t="s">
        <v>177</v>
      </c>
      <c r="D487" s="1">
        <v>7.0</v>
      </c>
    </row>
    <row r="488" ht="15.75" customHeight="1">
      <c r="A488" s="1" t="s">
        <v>291</v>
      </c>
      <c r="B488" s="1">
        <v>38.0</v>
      </c>
      <c r="C488" s="1" t="s">
        <v>63</v>
      </c>
      <c r="D488" s="1">
        <v>35.0</v>
      </c>
    </row>
    <row r="489" ht="15.75" customHeight="1">
      <c r="A489" s="1" t="s">
        <v>73</v>
      </c>
      <c r="B489" s="1">
        <v>42.0</v>
      </c>
      <c r="C489" s="1" t="s">
        <v>181</v>
      </c>
      <c r="D489" s="1">
        <v>14.0</v>
      </c>
    </row>
    <row r="490" ht="15.75" customHeight="1">
      <c r="A490" s="1" t="s">
        <v>292</v>
      </c>
      <c r="B490" s="1">
        <v>45.0</v>
      </c>
      <c r="C490" s="1" t="s">
        <v>201</v>
      </c>
      <c r="D490" s="1">
        <v>18.0</v>
      </c>
    </row>
    <row r="491" ht="15.75" customHeight="1">
      <c r="A491" s="1" t="s">
        <v>153</v>
      </c>
      <c r="B491" s="1">
        <v>34.0</v>
      </c>
      <c r="C491" s="1" t="s">
        <v>67</v>
      </c>
      <c r="D491" s="1">
        <v>24.0</v>
      </c>
    </row>
    <row r="492" ht="15.75" customHeight="1">
      <c r="A492" s="1" t="s">
        <v>266</v>
      </c>
      <c r="B492" s="1">
        <v>34.0</v>
      </c>
      <c r="C492" s="1" t="s">
        <v>57</v>
      </c>
      <c r="D492" s="1">
        <v>10.0</v>
      </c>
    </row>
    <row r="493" ht="15.75" customHeight="1">
      <c r="A493" s="1" t="s">
        <v>161</v>
      </c>
      <c r="B493" s="1">
        <v>29.0</v>
      </c>
      <c r="C493" s="1" t="s">
        <v>238</v>
      </c>
      <c r="D493" s="1">
        <v>28.0</v>
      </c>
    </row>
    <row r="494" ht="15.75" customHeight="1">
      <c r="A494" s="1" t="s">
        <v>163</v>
      </c>
      <c r="B494" s="1">
        <v>52.0</v>
      </c>
      <c r="C494" s="1" t="s">
        <v>184</v>
      </c>
      <c r="D494" s="1">
        <v>44.0</v>
      </c>
    </row>
    <row r="495" ht="15.75" customHeight="1">
      <c r="A495" s="1" t="s">
        <v>269</v>
      </c>
      <c r="B495" s="1">
        <v>52.0</v>
      </c>
      <c r="C495" s="1" t="s">
        <v>157</v>
      </c>
      <c r="D495" s="1">
        <v>45.0</v>
      </c>
    </row>
    <row r="496" ht="15.75" customHeight="1">
      <c r="A496" s="1" t="s">
        <v>189</v>
      </c>
      <c r="B496" s="1">
        <v>30.0</v>
      </c>
      <c r="C496" s="1" t="s">
        <v>216</v>
      </c>
      <c r="D496" s="1">
        <v>20.0</v>
      </c>
    </row>
    <row r="497" ht="15.75" customHeight="1">
      <c r="A497" s="1" t="s">
        <v>101</v>
      </c>
      <c r="B497" s="1">
        <v>32.0</v>
      </c>
      <c r="C497" s="1" t="s">
        <v>141</v>
      </c>
      <c r="D497" s="1">
        <v>20.0</v>
      </c>
    </row>
    <row r="498" ht="15.75" customHeight="1">
      <c r="A498" s="1" t="s">
        <v>273</v>
      </c>
      <c r="B498" s="1">
        <v>21.0</v>
      </c>
      <c r="C498" s="1" t="s">
        <v>120</v>
      </c>
      <c r="D498" s="1">
        <v>17.0</v>
      </c>
    </row>
    <row r="499" ht="15.75" customHeight="1">
      <c r="A499" s="1" t="s">
        <v>301</v>
      </c>
      <c r="B499" s="1">
        <v>51.0</v>
      </c>
      <c r="C499" s="1" t="s">
        <v>146</v>
      </c>
      <c r="D499" s="1">
        <v>17.0</v>
      </c>
    </row>
    <row r="500" ht="15.75" customHeight="1">
      <c r="A500" s="1" t="s">
        <v>180</v>
      </c>
      <c r="B500" s="1">
        <v>33.0</v>
      </c>
      <c r="C500" s="1" t="s">
        <v>198</v>
      </c>
      <c r="D500" s="1">
        <v>25.0</v>
      </c>
    </row>
    <row r="501" ht="15.75" customHeight="1">
      <c r="A501" s="1" t="s">
        <v>50</v>
      </c>
      <c r="B501" s="1">
        <v>50.0</v>
      </c>
      <c r="C501" s="1" t="s">
        <v>228</v>
      </c>
      <c r="D501" s="1">
        <v>45.0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5" t="s">
        <v>302</v>
      </c>
      <c r="B1" s="5" t="s">
        <v>303</v>
      </c>
      <c r="C1" s="5" t="s">
        <v>45</v>
      </c>
      <c r="D1" s="5" t="s">
        <v>304</v>
      </c>
      <c r="E1" s="6" t="s">
        <v>305</v>
      </c>
      <c r="F1" s="5" t="s">
        <v>306</v>
      </c>
      <c r="G1" s="5" t="s">
        <v>307</v>
      </c>
      <c r="H1" s="5" t="s">
        <v>308</v>
      </c>
      <c r="I1" s="5" t="s">
        <v>305</v>
      </c>
      <c r="J1" s="5" t="s">
        <v>307</v>
      </c>
      <c r="K1" s="5" t="s">
        <v>309</v>
      </c>
      <c r="L1" s="5" t="s">
        <v>308</v>
      </c>
      <c r="M1" s="5" t="s">
        <v>310</v>
      </c>
      <c r="N1" s="5" t="s">
        <v>307</v>
      </c>
      <c r="O1" s="5" t="s">
        <v>309</v>
      </c>
      <c r="P1" s="5" t="s">
        <v>311</v>
      </c>
      <c r="Q1" s="5" t="s">
        <v>312</v>
      </c>
      <c r="R1" s="5" t="s">
        <v>313</v>
      </c>
      <c r="S1" s="5" t="s">
        <v>314</v>
      </c>
      <c r="T1" s="5" t="s">
        <v>315</v>
      </c>
      <c r="U1" s="5" t="s">
        <v>307</v>
      </c>
      <c r="V1" s="5" t="s">
        <v>316</v>
      </c>
      <c r="W1" s="5" t="s">
        <v>317</v>
      </c>
      <c r="X1" s="5" t="s">
        <v>314</v>
      </c>
    </row>
    <row r="2" ht="15.75" customHeight="1">
      <c r="A2" s="7" t="s">
        <v>165</v>
      </c>
      <c r="B2" s="4">
        <v>13.0</v>
      </c>
      <c r="C2" s="4">
        <v>43.9</v>
      </c>
      <c r="D2" s="4">
        <v>25.2</v>
      </c>
      <c r="E2" s="4">
        <v>37.6</v>
      </c>
      <c r="F2" s="4">
        <v>67.1</v>
      </c>
      <c r="G2" s="4">
        <v>348.2</v>
      </c>
      <c r="H2" s="4">
        <v>3.2</v>
      </c>
      <c r="I2" s="4">
        <v>33.3</v>
      </c>
      <c r="J2" s="4">
        <v>188.9</v>
      </c>
      <c r="K2" s="4">
        <v>5.7</v>
      </c>
      <c r="L2" s="4">
        <v>2.3</v>
      </c>
      <c r="M2" s="4">
        <v>70.9</v>
      </c>
      <c r="N2" s="4">
        <v>537.2</v>
      </c>
      <c r="O2" s="4">
        <v>7.6</v>
      </c>
      <c r="P2" s="4">
        <v>15.0</v>
      </c>
      <c r="Q2" s="4">
        <v>10.3</v>
      </c>
      <c r="R2" s="4">
        <v>1.7</v>
      </c>
      <c r="S2" s="4">
        <v>27.0</v>
      </c>
      <c r="T2" s="4">
        <v>6.6</v>
      </c>
      <c r="U2" s="4">
        <v>67.5</v>
      </c>
      <c r="V2" s="4">
        <v>0.6</v>
      </c>
      <c r="W2" s="4">
        <v>0.6</v>
      </c>
      <c r="X2" s="4">
        <v>1.2</v>
      </c>
    </row>
    <row r="3" ht="15.75" customHeight="1">
      <c r="A3" s="7" t="s">
        <v>139</v>
      </c>
      <c r="B3" s="4">
        <v>13.0</v>
      </c>
      <c r="C3" s="4">
        <v>41.3</v>
      </c>
      <c r="D3" s="4">
        <v>18.9</v>
      </c>
      <c r="E3" s="4">
        <v>27.8</v>
      </c>
      <c r="F3" s="4">
        <v>68.1</v>
      </c>
      <c r="G3" s="4">
        <v>261.3</v>
      </c>
      <c r="H3" s="4">
        <v>2.5</v>
      </c>
      <c r="I3" s="4">
        <v>37.8</v>
      </c>
      <c r="J3" s="4">
        <v>165.1</v>
      </c>
      <c r="K3" s="4">
        <v>4.4</v>
      </c>
      <c r="L3" s="4">
        <v>2.8</v>
      </c>
      <c r="M3" s="4">
        <v>65.5</v>
      </c>
      <c r="N3" s="4">
        <v>426.4</v>
      </c>
      <c r="O3" s="4">
        <v>6.5</v>
      </c>
      <c r="P3" s="4">
        <v>11.9</v>
      </c>
      <c r="Q3" s="4">
        <v>10.0</v>
      </c>
      <c r="R3" s="4">
        <v>1.6</v>
      </c>
      <c r="S3" s="4">
        <v>23.5</v>
      </c>
      <c r="T3" s="4">
        <v>4.8</v>
      </c>
      <c r="U3" s="4">
        <v>43.9</v>
      </c>
      <c r="V3" s="4">
        <v>0.2</v>
      </c>
      <c r="W3" s="4">
        <v>0.5</v>
      </c>
      <c r="X3" s="4">
        <v>0.7</v>
      </c>
    </row>
    <row r="4" ht="15.75" customHeight="1">
      <c r="A4" s="7" t="s">
        <v>318</v>
      </c>
      <c r="B4" s="4">
        <v>13.0</v>
      </c>
      <c r="C4" s="4">
        <v>38.6</v>
      </c>
      <c r="D4" s="4">
        <v>22.7</v>
      </c>
      <c r="E4" s="4">
        <v>33.4</v>
      </c>
      <c r="F4" s="4">
        <v>68.0</v>
      </c>
      <c r="G4" s="4">
        <v>350.8</v>
      </c>
      <c r="H4" s="4">
        <v>2.4</v>
      </c>
      <c r="I4" s="4">
        <v>38.5</v>
      </c>
      <c r="J4" s="4">
        <v>175.7</v>
      </c>
      <c r="K4" s="4">
        <v>4.6</v>
      </c>
      <c r="L4" s="4">
        <v>2.2</v>
      </c>
      <c r="M4" s="4">
        <v>71.8</v>
      </c>
      <c r="N4" s="4">
        <v>526.5</v>
      </c>
      <c r="O4" s="4">
        <v>7.3</v>
      </c>
      <c r="P4" s="4">
        <v>13.5</v>
      </c>
      <c r="Q4" s="4">
        <v>9.9</v>
      </c>
      <c r="R4" s="4">
        <v>1.3</v>
      </c>
      <c r="S4" s="4">
        <v>24.8</v>
      </c>
      <c r="T4" s="4">
        <v>7.2</v>
      </c>
      <c r="U4" s="4">
        <v>72.0</v>
      </c>
      <c r="V4" s="4">
        <v>0.5</v>
      </c>
      <c r="W4" s="4">
        <v>0.5</v>
      </c>
      <c r="X4" s="4">
        <v>1.0</v>
      </c>
    </row>
    <row r="5" ht="15.75" customHeight="1">
      <c r="A5" s="7" t="s">
        <v>223</v>
      </c>
      <c r="B5" s="4">
        <v>13.0</v>
      </c>
      <c r="C5" s="4">
        <v>37.6</v>
      </c>
      <c r="D5" s="4">
        <v>25.8</v>
      </c>
      <c r="E5" s="4">
        <v>41.2</v>
      </c>
      <c r="F5" s="4">
        <v>62.7</v>
      </c>
      <c r="G5" s="4">
        <v>296.7</v>
      </c>
      <c r="H5" s="4">
        <v>2.4</v>
      </c>
      <c r="I5" s="4">
        <v>36.5</v>
      </c>
      <c r="J5" s="4">
        <v>166.0</v>
      </c>
      <c r="K5" s="4">
        <v>4.6</v>
      </c>
      <c r="L5" s="4">
        <v>2.0</v>
      </c>
      <c r="M5" s="4">
        <v>77.7</v>
      </c>
      <c r="N5" s="4">
        <v>462.7</v>
      </c>
      <c r="O5" s="4">
        <v>6.0</v>
      </c>
      <c r="P5" s="4">
        <v>13.4</v>
      </c>
      <c r="Q5" s="4">
        <v>9.5</v>
      </c>
      <c r="R5" s="4">
        <v>1.6</v>
      </c>
      <c r="S5" s="4">
        <v>24.5</v>
      </c>
      <c r="T5" s="4">
        <v>7.3</v>
      </c>
      <c r="U5" s="4">
        <v>60.9</v>
      </c>
      <c r="V5" s="4">
        <v>0.8</v>
      </c>
      <c r="W5" s="4">
        <v>0.8</v>
      </c>
      <c r="X5" s="4">
        <v>1.6</v>
      </c>
    </row>
    <row r="6" ht="15.75" customHeight="1">
      <c r="A6" s="7" t="s">
        <v>124</v>
      </c>
      <c r="B6" s="4">
        <v>14.0</v>
      </c>
      <c r="C6" s="4">
        <v>37.3</v>
      </c>
      <c r="D6" s="4">
        <v>18.6</v>
      </c>
      <c r="E6" s="4">
        <v>29.6</v>
      </c>
      <c r="F6" s="4">
        <v>62.9</v>
      </c>
      <c r="G6" s="4">
        <v>225.6</v>
      </c>
      <c r="H6" s="4">
        <v>1.6</v>
      </c>
      <c r="I6" s="4">
        <v>39.6</v>
      </c>
      <c r="J6" s="4">
        <v>240.4</v>
      </c>
      <c r="K6" s="4">
        <v>6.1</v>
      </c>
      <c r="L6" s="4">
        <v>3.1</v>
      </c>
      <c r="M6" s="4">
        <v>69.3</v>
      </c>
      <c r="N6" s="4">
        <v>466.0</v>
      </c>
      <c r="O6" s="4">
        <v>6.7</v>
      </c>
      <c r="P6" s="4">
        <v>11.0</v>
      </c>
      <c r="Q6" s="4">
        <v>10.9</v>
      </c>
      <c r="R6" s="4">
        <v>1.6</v>
      </c>
      <c r="S6" s="4">
        <v>23.4</v>
      </c>
      <c r="T6" s="4">
        <v>5.4</v>
      </c>
      <c r="U6" s="4">
        <v>46.2</v>
      </c>
      <c r="V6" s="4">
        <v>0.4</v>
      </c>
      <c r="W6" s="4">
        <v>0.5</v>
      </c>
      <c r="X6" s="4">
        <v>0.9</v>
      </c>
    </row>
    <row r="7" ht="15.75" customHeight="1">
      <c r="A7" s="7" t="s">
        <v>236</v>
      </c>
      <c r="B7" s="4">
        <v>13.0</v>
      </c>
      <c r="C7" s="4">
        <v>36.6</v>
      </c>
      <c r="D7" s="4">
        <v>20.2</v>
      </c>
      <c r="E7" s="4">
        <v>30.7</v>
      </c>
      <c r="F7" s="4">
        <v>65.9</v>
      </c>
      <c r="G7" s="4">
        <v>276.1</v>
      </c>
      <c r="H7" s="4">
        <v>2.5</v>
      </c>
      <c r="I7" s="4">
        <v>36.2</v>
      </c>
      <c r="J7" s="4">
        <v>166.8</v>
      </c>
      <c r="K7" s="4">
        <v>4.6</v>
      </c>
      <c r="L7" s="4">
        <v>2.2</v>
      </c>
      <c r="M7" s="4">
        <v>66.8</v>
      </c>
      <c r="N7" s="4">
        <v>442.8</v>
      </c>
      <c r="O7" s="4">
        <v>6.6</v>
      </c>
      <c r="P7" s="4">
        <v>11.8</v>
      </c>
      <c r="Q7" s="4">
        <v>9.1</v>
      </c>
      <c r="R7" s="4">
        <v>2.0</v>
      </c>
      <c r="S7" s="4">
        <v>22.9</v>
      </c>
      <c r="T7" s="4">
        <v>6.2</v>
      </c>
      <c r="U7" s="4">
        <v>57.8</v>
      </c>
      <c r="V7" s="4">
        <v>0.4</v>
      </c>
      <c r="W7" s="4">
        <v>0.7</v>
      </c>
      <c r="X7" s="4">
        <v>1.1</v>
      </c>
    </row>
    <row r="8" ht="15.75" customHeight="1">
      <c r="A8" s="7" t="s">
        <v>157</v>
      </c>
      <c r="B8" s="4">
        <v>13.0</v>
      </c>
      <c r="C8" s="4">
        <v>36.5</v>
      </c>
      <c r="D8" s="4">
        <v>20.8</v>
      </c>
      <c r="E8" s="4">
        <v>32.8</v>
      </c>
      <c r="F8" s="4">
        <v>63.5</v>
      </c>
      <c r="G8" s="4">
        <v>264.1</v>
      </c>
      <c r="H8" s="4">
        <v>2.0</v>
      </c>
      <c r="I8" s="4">
        <v>32.8</v>
      </c>
      <c r="J8" s="4">
        <v>185.2</v>
      </c>
      <c r="K8" s="4">
        <v>5.7</v>
      </c>
      <c r="L8" s="4">
        <v>2.2</v>
      </c>
      <c r="M8" s="4">
        <v>65.6</v>
      </c>
      <c r="N8" s="4">
        <v>449.2</v>
      </c>
      <c r="O8" s="4">
        <v>6.8</v>
      </c>
      <c r="P8" s="4">
        <v>11.2</v>
      </c>
      <c r="Q8" s="4">
        <v>8.5</v>
      </c>
      <c r="R8" s="4">
        <v>1.5</v>
      </c>
      <c r="S8" s="4">
        <v>21.2</v>
      </c>
      <c r="T8" s="4">
        <v>6.2</v>
      </c>
      <c r="U8" s="4">
        <v>49.4</v>
      </c>
      <c r="V8" s="4">
        <v>0.4</v>
      </c>
      <c r="W8" s="4">
        <v>0.5</v>
      </c>
      <c r="X8" s="4">
        <v>0.8</v>
      </c>
    </row>
    <row r="9" ht="15.75" customHeight="1">
      <c r="A9" s="7" t="s">
        <v>319</v>
      </c>
      <c r="B9" s="4">
        <v>14.0</v>
      </c>
      <c r="C9" s="4">
        <v>36.5</v>
      </c>
      <c r="D9" s="4">
        <v>19.9</v>
      </c>
      <c r="E9" s="4">
        <v>31.1</v>
      </c>
      <c r="F9" s="4">
        <v>63.8</v>
      </c>
      <c r="G9" s="4">
        <v>261.9</v>
      </c>
      <c r="H9" s="4">
        <v>2.0</v>
      </c>
      <c r="I9" s="4">
        <v>38.7</v>
      </c>
      <c r="J9" s="4">
        <v>167.6</v>
      </c>
      <c r="K9" s="4">
        <v>4.3</v>
      </c>
      <c r="L9" s="4">
        <v>2.1</v>
      </c>
      <c r="M9" s="4">
        <v>69.9</v>
      </c>
      <c r="N9" s="4">
        <v>429.5</v>
      </c>
      <c r="O9" s="4">
        <v>6.1</v>
      </c>
      <c r="P9" s="4">
        <v>11.4</v>
      </c>
      <c r="Q9" s="4">
        <v>9.5</v>
      </c>
      <c r="R9" s="4">
        <v>1.9</v>
      </c>
      <c r="S9" s="4">
        <v>22.8</v>
      </c>
      <c r="T9" s="4">
        <v>8.1</v>
      </c>
      <c r="U9" s="4">
        <v>77.7</v>
      </c>
      <c r="V9" s="4">
        <v>0.9</v>
      </c>
      <c r="W9" s="4">
        <v>0.9</v>
      </c>
      <c r="X9" s="4">
        <v>1.7</v>
      </c>
    </row>
    <row r="10" ht="15.75" customHeight="1">
      <c r="A10" s="7" t="s">
        <v>221</v>
      </c>
      <c r="B10" s="4">
        <v>13.0</v>
      </c>
      <c r="C10" s="4">
        <v>36.5</v>
      </c>
      <c r="D10" s="4">
        <v>23.0</v>
      </c>
      <c r="E10" s="4">
        <v>32.9</v>
      </c>
      <c r="F10" s="4">
        <v>69.9</v>
      </c>
      <c r="G10" s="4">
        <v>268.7</v>
      </c>
      <c r="H10" s="4">
        <v>2.4</v>
      </c>
      <c r="I10" s="4">
        <v>40.7</v>
      </c>
      <c r="J10" s="4">
        <v>208.2</v>
      </c>
      <c r="K10" s="4">
        <v>5.1</v>
      </c>
      <c r="L10" s="4">
        <v>2.1</v>
      </c>
      <c r="M10" s="4">
        <v>73.6</v>
      </c>
      <c r="N10" s="4">
        <v>476.9</v>
      </c>
      <c r="O10" s="4">
        <v>6.5</v>
      </c>
      <c r="P10" s="4">
        <v>12.4</v>
      </c>
      <c r="Q10" s="4">
        <v>12.1</v>
      </c>
      <c r="R10" s="4">
        <v>1.6</v>
      </c>
      <c r="S10" s="4">
        <v>26.1</v>
      </c>
      <c r="T10" s="4">
        <v>6.8</v>
      </c>
      <c r="U10" s="4">
        <v>64.2</v>
      </c>
      <c r="V10" s="4">
        <v>0.7</v>
      </c>
      <c r="W10" s="4">
        <v>1.1</v>
      </c>
      <c r="X10" s="4">
        <v>1.8</v>
      </c>
    </row>
    <row r="11" ht="15.75" customHeight="1">
      <c r="A11" s="7" t="s">
        <v>190</v>
      </c>
      <c r="B11" s="4">
        <v>16.0</v>
      </c>
      <c r="C11" s="4">
        <v>36.1</v>
      </c>
      <c r="D11" s="4">
        <v>18.5</v>
      </c>
      <c r="E11" s="4">
        <v>27.8</v>
      </c>
      <c r="F11" s="4">
        <v>66.5</v>
      </c>
      <c r="G11" s="4">
        <v>198.1</v>
      </c>
      <c r="H11" s="4">
        <v>1.5</v>
      </c>
      <c r="I11" s="4">
        <v>35.5</v>
      </c>
      <c r="J11" s="4">
        <v>200.9</v>
      </c>
      <c r="K11" s="4">
        <v>5.7</v>
      </c>
      <c r="L11" s="4">
        <v>2.8</v>
      </c>
      <c r="M11" s="4">
        <v>63.3</v>
      </c>
      <c r="N11" s="4">
        <v>399.1</v>
      </c>
      <c r="O11" s="4">
        <v>6.3</v>
      </c>
      <c r="P11" s="4">
        <v>9.4</v>
      </c>
      <c r="Q11" s="4">
        <v>9.2</v>
      </c>
      <c r="R11" s="4">
        <v>1.8</v>
      </c>
      <c r="S11" s="4">
        <v>20.4</v>
      </c>
      <c r="T11" s="4">
        <v>5.8</v>
      </c>
      <c r="U11" s="4">
        <v>50.9</v>
      </c>
      <c r="V11" s="4">
        <v>0.4</v>
      </c>
      <c r="W11" s="4">
        <v>0.5</v>
      </c>
      <c r="X11" s="4">
        <v>0.9</v>
      </c>
    </row>
    <row r="12" ht="15.75" customHeight="1">
      <c r="A12" s="7" t="s">
        <v>68</v>
      </c>
      <c r="B12" s="4">
        <v>14.0</v>
      </c>
      <c r="C12" s="4">
        <v>36.0</v>
      </c>
      <c r="D12" s="4">
        <v>13.5</v>
      </c>
      <c r="E12" s="4">
        <v>22.4</v>
      </c>
      <c r="F12" s="4">
        <v>60.2</v>
      </c>
      <c r="G12" s="4">
        <v>190.4</v>
      </c>
      <c r="H12" s="4">
        <v>1.0</v>
      </c>
      <c r="I12" s="4">
        <v>46.1</v>
      </c>
      <c r="J12" s="4">
        <v>251.2</v>
      </c>
      <c r="K12" s="4">
        <v>5.4</v>
      </c>
      <c r="L12" s="4">
        <v>3.6</v>
      </c>
      <c r="M12" s="4">
        <v>68.6</v>
      </c>
      <c r="N12" s="4">
        <v>441.6</v>
      </c>
      <c r="O12" s="4">
        <v>6.4</v>
      </c>
      <c r="P12" s="4">
        <v>7.6</v>
      </c>
      <c r="Q12" s="4">
        <v>12.8</v>
      </c>
      <c r="R12" s="4">
        <v>2.4</v>
      </c>
      <c r="S12" s="4">
        <v>22.7</v>
      </c>
      <c r="T12" s="4">
        <v>5.9</v>
      </c>
      <c r="U12" s="4">
        <v>57.7</v>
      </c>
      <c r="V12" s="4">
        <v>0.6</v>
      </c>
      <c r="W12" s="4">
        <v>0.5</v>
      </c>
      <c r="X12" s="4">
        <v>1.1</v>
      </c>
    </row>
    <row r="13" ht="15.75" customHeight="1">
      <c r="A13" s="7" t="s">
        <v>163</v>
      </c>
      <c r="B13" s="4">
        <v>13.0</v>
      </c>
      <c r="C13" s="4">
        <v>35.7</v>
      </c>
      <c r="D13" s="4">
        <v>23.8</v>
      </c>
      <c r="E13" s="4">
        <v>36.8</v>
      </c>
      <c r="F13" s="4">
        <v>64.7</v>
      </c>
      <c r="G13" s="4">
        <v>270.5</v>
      </c>
      <c r="H13" s="4">
        <v>1.9</v>
      </c>
      <c r="I13" s="4">
        <v>34.5</v>
      </c>
      <c r="J13" s="4">
        <v>174.1</v>
      </c>
      <c r="K13" s="4">
        <v>5.1</v>
      </c>
      <c r="L13" s="4">
        <v>2.5</v>
      </c>
      <c r="M13" s="4">
        <v>71.3</v>
      </c>
      <c r="N13" s="4">
        <v>444.5</v>
      </c>
      <c r="O13" s="4">
        <v>6.2</v>
      </c>
      <c r="P13" s="4">
        <v>11.5</v>
      </c>
      <c r="Q13" s="4">
        <v>9.4</v>
      </c>
      <c r="R13" s="4">
        <v>2.2</v>
      </c>
      <c r="S13" s="4">
        <v>23.1</v>
      </c>
      <c r="T13" s="4">
        <v>5.3</v>
      </c>
      <c r="U13" s="4">
        <v>48.0</v>
      </c>
      <c r="V13" s="4">
        <v>0.2</v>
      </c>
      <c r="W13" s="4">
        <v>0.5</v>
      </c>
      <c r="X13" s="4">
        <v>0.6</v>
      </c>
    </row>
    <row r="14" ht="15.75" customHeight="1">
      <c r="A14" s="7" t="s">
        <v>192</v>
      </c>
      <c r="B14" s="4">
        <v>16.0</v>
      </c>
      <c r="C14" s="4">
        <v>35.7</v>
      </c>
      <c r="D14" s="4">
        <v>20.3</v>
      </c>
      <c r="E14" s="4">
        <v>28.4</v>
      </c>
      <c r="F14" s="4">
        <v>71.4</v>
      </c>
      <c r="G14" s="4">
        <v>263.0</v>
      </c>
      <c r="H14" s="4">
        <v>2.3</v>
      </c>
      <c r="I14" s="4">
        <v>33.4</v>
      </c>
      <c r="J14" s="4">
        <v>166.4</v>
      </c>
      <c r="K14" s="4">
        <v>5.0</v>
      </c>
      <c r="L14" s="4">
        <v>2.1</v>
      </c>
      <c r="M14" s="4">
        <v>61.8</v>
      </c>
      <c r="N14" s="4">
        <v>429.4</v>
      </c>
      <c r="O14" s="4">
        <v>6.9</v>
      </c>
      <c r="P14" s="4">
        <v>11.4</v>
      </c>
      <c r="Q14" s="4">
        <v>8.4</v>
      </c>
      <c r="R14" s="4">
        <v>0.9</v>
      </c>
      <c r="S14" s="4">
        <v>20.8</v>
      </c>
      <c r="T14" s="4">
        <v>4.5</v>
      </c>
      <c r="U14" s="4">
        <v>40.8</v>
      </c>
      <c r="V14" s="4">
        <v>0.4</v>
      </c>
      <c r="W14" s="4">
        <v>0.6</v>
      </c>
      <c r="X14" s="4">
        <v>1.0</v>
      </c>
    </row>
    <row r="15" ht="15.75" customHeight="1">
      <c r="A15" s="7" t="s">
        <v>217</v>
      </c>
      <c r="B15" s="4">
        <v>13.0</v>
      </c>
      <c r="C15" s="4">
        <v>35.7</v>
      </c>
      <c r="D15" s="4">
        <v>18.2</v>
      </c>
      <c r="E15" s="4">
        <v>28.8</v>
      </c>
      <c r="F15" s="4">
        <v>63.1</v>
      </c>
      <c r="G15" s="4">
        <v>221.2</v>
      </c>
      <c r="H15" s="4">
        <v>1.6</v>
      </c>
      <c r="I15" s="4">
        <v>44.9</v>
      </c>
      <c r="J15" s="4">
        <v>225.8</v>
      </c>
      <c r="K15" s="4">
        <v>5.0</v>
      </c>
      <c r="L15" s="4">
        <v>2.6</v>
      </c>
      <c r="M15" s="4">
        <v>73.7</v>
      </c>
      <c r="N15" s="4">
        <v>447.0</v>
      </c>
      <c r="O15" s="4">
        <v>6.1</v>
      </c>
      <c r="P15" s="4">
        <v>10.4</v>
      </c>
      <c r="Q15" s="4">
        <v>11.6</v>
      </c>
      <c r="R15" s="4">
        <v>1.4</v>
      </c>
      <c r="S15" s="4">
        <v>23.4</v>
      </c>
      <c r="T15" s="4">
        <v>8.1</v>
      </c>
      <c r="U15" s="4">
        <v>66.8</v>
      </c>
      <c r="V15" s="4">
        <v>0.6</v>
      </c>
      <c r="W15" s="4">
        <v>0.5</v>
      </c>
      <c r="X15" s="4">
        <v>1.2</v>
      </c>
    </row>
    <row r="16" ht="15.75" customHeight="1">
      <c r="A16" s="7" t="s">
        <v>320</v>
      </c>
      <c r="B16" s="4">
        <v>14.0</v>
      </c>
      <c r="C16" s="4">
        <v>35.4</v>
      </c>
      <c r="D16" s="4">
        <v>12.7</v>
      </c>
      <c r="E16" s="4">
        <v>22.1</v>
      </c>
      <c r="F16" s="4">
        <v>57.6</v>
      </c>
      <c r="G16" s="4">
        <v>172.6</v>
      </c>
      <c r="H16" s="4">
        <v>1.8</v>
      </c>
      <c r="I16" s="4">
        <v>44.5</v>
      </c>
      <c r="J16" s="4">
        <v>243.5</v>
      </c>
      <c r="K16" s="4">
        <v>5.5</v>
      </c>
      <c r="L16" s="4">
        <v>2.1</v>
      </c>
      <c r="M16" s="4">
        <v>66.6</v>
      </c>
      <c r="N16" s="4">
        <v>416.1</v>
      </c>
      <c r="O16" s="4">
        <v>6.3</v>
      </c>
      <c r="P16" s="4">
        <v>7.6</v>
      </c>
      <c r="Q16" s="4">
        <v>11.9</v>
      </c>
      <c r="R16" s="4">
        <v>1.7</v>
      </c>
      <c r="S16" s="4">
        <v>21.1</v>
      </c>
      <c r="T16" s="4">
        <v>5.6</v>
      </c>
      <c r="U16" s="4">
        <v>49.2</v>
      </c>
      <c r="V16" s="4">
        <v>0.2</v>
      </c>
      <c r="W16" s="4">
        <v>0.4</v>
      </c>
      <c r="X16" s="4">
        <v>0.6</v>
      </c>
    </row>
    <row r="17" ht="15.75" customHeight="1">
      <c r="A17" s="7" t="s">
        <v>89</v>
      </c>
      <c r="B17" s="4">
        <v>14.0</v>
      </c>
      <c r="C17" s="4">
        <v>35.1</v>
      </c>
      <c r="D17" s="4">
        <v>14.8</v>
      </c>
      <c r="E17" s="4">
        <v>23.5</v>
      </c>
      <c r="F17" s="4">
        <v>62.9</v>
      </c>
      <c r="G17" s="4">
        <v>209.4</v>
      </c>
      <c r="H17" s="4">
        <v>1.8</v>
      </c>
      <c r="I17" s="4">
        <v>40.5</v>
      </c>
      <c r="J17" s="4">
        <v>195.6</v>
      </c>
      <c r="K17" s="4">
        <v>4.8</v>
      </c>
      <c r="L17" s="4">
        <v>2.3</v>
      </c>
      <c r="M17" s="4">
        <v>64.0</v>
      </c>
      <c r="N17" s="4">
        <v>405.0</v>
      </c>
      <c r="O17" s="4">
        <v>6.3</v>
      </c>
      <c r="P17" s="4">
        <v>8.5</v>
      </c>
      <c r="Q17" s="4">
        <v>10.5</v>
      </c>
      <c r="R17" s="4">
        <v>1.8</v>
      </c>
      <c r="S17" s="4">
        <v>20.8</v>
      </c>
      <c r="T17" s="4">
        <v>6.1</v>
      </c>
      <c r="U17" s="4">
        <v>50.1</v>
      </c>
      <c r="V17" s="4">
        <v>0.4</v>
      </c>
      <c r="W17" s="4">
        <v>0.6</v>
      </c>
      <c r="X17" s="4">
        <v>1.1</v>
      </c>
    </row>
    <row r="18" ht="15.75" customHeight="1">
      <c r="A18" s="7" t="s">
        <v>196</v>
      </c>
      <c r="B18" s="4">
        <v>14.0</v>
      </c>
      <c r="C18" s="4">
        <v>34.9</v>
      </c>
      <c r="D18" s="4">
        <v>23.9</v>
      </c>
      <c r="E18" s="4">
        <v>32.9</v>
      </c>
      <c r="F18" s="4">
        <v>72.8</v>
      </c>
      <c r="G18" s="4">
        <v>279.5</v>
      </c>
      <c r="H18" s="4">
        <v>2.1</v>
      </c>
      <c r="I18" s="4">
        <v>35.6</v>
      </c>
      <c r="J18" s="4">
        <v>157.9</v>
      </c>
      <c r="K18" s="4">
        <v>4.4</v>
      </c>
      <c r="L18" s="4">
        <v>2.1</v>
      </c>
      <c r="M18" s="4">
        <v>68.5</v>
      </c>
      <c r="N18" s="4">
        <v>437.4</v>
      </c>
      <c r="O18" s="4">
        <v>6.4</v>
      </c>
      <c r="P18" s="4">
        <v>12.5</v>
      </c>
      <c r="Q18" s="4">
        <v>9.1</v>
      </c>
      <c r="R18" s="4">
        <v>1.5</v>
      </c>
      <c r="S18" s="4">
        <v>23.1</v>
      </c>
      <c r="T18" s="4">
        <v>5.3</v>
      </c>
      <c r="U18" s="4">
        <v>41.4</v>
      </c>
      <c r="V18" s="4">
        <v>0.4</v>
      </c>
      <c r="W18" s="4">
        <v>0.4</v>
      </c>
      <c r="X18" s="4">
        <v>0.8</v>
      </c>
    </row>
    <row r="19" ht="15.75" customHeight="1">
      <c r="A19" s="7" t="s">
        <v>137</v>
      </c>
      <c r="B19" s="4">
        <v>14.0</v>
      </c>
      <c r="C19" s="4">
        <v>34.7</v>
      </c>
      <c r="D19" s="4">
        <v>23.6</v>
      </c>
      <c r="E19" s="4">
        <v>38.1</v>
      </c>
      <c r="F19" s="4">
        <v>62.1</v>
      </c>
      <c r="G19" s="4">
        <v>278.5</v>
      </c>
      <c r="H19" s="4">
        <v>2.6</v>
      </c>
      <c r="I19" s="4">
        <v>33.8</v>
      </c>
      <c r="J19" s="4">
        <v>173.4</v>
      </c>
      <c r="K19" s="4">
        <v>5.1</v>
      </c>
      <c r="L19" s="4">
        <v>1.6</v>
      </c>
      <c r="M19" s="4">
        <v>71.9</v>
      </c>
      <c r="N19" s="4">
        <v>451.9</v>
      </c>
      <c r="O19" s="4">
        <v>6.3</v>
      </c>
      <c r="P19" s="4">
        <v>12.1</v>
      </c>
      <c r="Q19" s="4">
        <v>9.9</v>
      </c>
      <c r="R19" s="4">
        <v>2.0</v>
      </c>
      <c r="S19" s="4">
        <v>24.1</v>
      </c>
      <c r="T19" s="4">
        <v>4.9</v>
      </c>
      <c r="U19" s="4">
        <v>47.6</v>
      </c>
      <c r="V19" s="4">
        <v>0.2</v>
      </c>
      <c r="W19" s="4">
        <v>0.5</v>
      </c>
      <c r="X19" s="4">
        <v>0.7</v>
      </c>
    </row>
    <row r="20" ht="15.75" customHeight="1">
      <c r="A20" s="7" t="s">
        <v>122</v>
      </c>
      <c r="B20" s="4">
        <v>13.0</v>
      </c>
      <c r="C20" s="4">
        <v>34.4</v>
      </c>
      <c r="D20" s="4">
        <v>19.5</v>
      </c>
      <c r="E20" s="4">
        <v>31.8</v>
      </c>
      <c r="F20" s="4">
        <v>61.3</v>
      </c>
      <c r="G20" s="4">
        <v>261.3</v>
      </c>
      <c r="H20" s="4">
        <v>2.4</v>
      </c>
      <c r="I20" s="4">
        <v>37.8</v>
      </c>
      <c r="J20" s="4">
        <v>178.8</v>
      </c>
      <c r="K20" s="4">
        <v>4.7</v>
      </c>
      <c r="L20" s="4">
        <v>1.9</v>
      </c>
      <c r="M20" s="4">
        <v>69.5</v>
      </c>
      <c r="N20" s="4">
        <v>440.1</v>
      </c>
      <c r="O20" s="4">
        <v>6.3</v>
      </c>
      <c r="P20" s="4">
        <v>12.1</v>
      </c>
      <c r="Q20" s="4">
        <v>9.1</v>
      </c>
      <c r="R20" s="4">
        <v>1.8</v>
      </c>
      <c r="S20" s="4">
        <v>23.0</v>
      </c>
      <c r="T20" s="4">
        <v>6.2</v>
      </c>
      <c r="U20" s="4">
        <v>60.4</v>
      </c>
      <c r="V20" s="4">
        <v>0.4</v>
      </c>
      <c r="W20" s="4">
        <v>0.8</v>
      </c>
      <c r="X20" s="4">
        <v>1.2</v>
      </c>
    </row>
    <row r="21" ht="15.75" customHeight="1">
      <c r="A21" s="7" t="s">
        <v>185</v>
      </c>
      <c r="B21" s="4">
        <v>13.0</v>
      </c>
      <c r="C21" s="4">
        <v>34.4</v>
      </c>
      <c r="D21" s="4">
        <v>19.5</v>
      </c>
      <c r="E21" s="4">
        <v>30.1</v>
      </c>
      <c r="F21" s="4">
        <v>65.0</v>
      </c>
      <c r="G21" s="4">
        <v>243.5</v>
      </c>
      <c r="H21" s="4">
        <v>1.6</v>
      </c>
      <c r="I21" s="4">
        <v>34.5</v>
      </c>
      <c r="J21" s="4">
        <v>198.7</v>
      </c>
      <c r="K21" s="4">
        <v>5.8</v>
      </c>
      <c r="L21" s="4">
        <v>2.5</v>
      </c>
      <c r="M21" s="4">
        <v>64.6</v>
      </c>
      <c r="N21" s="4">
        <v>442.2</v>
      </c>
      <c r="O21" s="4">
        <v>6.8</v>
      </c>
      <c r="P21" s="4">
        <v>10.3</v>
      </c>
      <c r="Q21" s="4">
        <v>10.1</v>
      </c>
      <c r="R21" s="4">
        <v>1.2</v>
      </c>
      <c r="S21" s="4">
        <v>21.6</v>
      </c>
      <c r="T21" s="4">
        <v>8.2</v>
      </c>
      <c r="U21" s="4">
        <v>71.3</v>
      </c>
      <c r="V21" s="4">
        <v>0.5</v>
      </c>
      <c r="W21" s="4">
        <v>0.5</v>
      </c>
      <c r="X21" s="4">
        <v>0.9</v>
      </c>
    </row>
    <row r="22" ht="15.75" customHeight="1">
      <c r="A22" s="7" t="s">
        <v>215</v>
      </c>
      <c r="B22" s="4">
        <v>13.0</v>
      </c>
      <c r="C22" s="4">
        <v>34.1</v>
      </c>
      <c r="D22" s="4">
        <v>30.2</v>
      </c>
      <c r="E22" s="4">
        <v>46.0</v>
      </c>
      <c r="F22" s="4">
        <v>65.7</v>
      </c>
      <c r="G22" s="4">
        <v>370.0</v>
      </c>
      <c r="H22" s="4">
        <v>2.6</v>
      </c>
      <c r="I22" s="4">
        <v>30.9</v>
      </c>
      <c r="J22" s="4">
        <v>97.6</v>
      </c>
      <c r="K22" s="4">
        <v>3.2</v>
      </c>
      <c r="L22" s="4">
        <v>1.7</v>
      </c>
      <c r="M22" s="4">
        <v>76.9</v>
      </c>
      <c r="N22" s="4">
        <v>467.6</v>
      </c>
      <c r="O22" s="4">
        <v>6.1</v>
      </c>
      <c r="P22" s="4">
        <v>17.8</v>
      </c>
      <c r="Q22" s="4">
        <v>6.5</v>
      </c>
      <c r="R22" s="4">
        <v>1.8</v>
      </c>
      <c r="S22" s="4">
        <v>26.0</v>
      </c>
      <c r="T22" s="4">
        <v>7.1</v>
      </c>
      <c r="U22" s="4">
        <v>59.2</v>
      </c>
      <c r="V22" s="4">
        <v>0.2</v>
      </c>
      <c r="W22" s="4">
        <v>0.9</v>
      </c>
      <c r="X22" s="4">
        <v>1.2</v>
      </c>
    </row>
    <row r="23" ht="15.75" customHeight="1">
      <c r="A23" s="7" t="s">
        <v>111</v>
      </c>
      <c r="B23" s="4">
        <v>13.0</v>
      </c>
      <c r="C23" s="4">
        <v>33.8</v>
      </c>
      <c r="D23" s="4">
        <v>17.4</v>
      </c>
      <c r="E23" s="4">
        <v>27.2</v>
      </c>
      <c r="F23" s="4">
        <v>63.8</v>
      </c>
      <c r="G23" s="4">
        <v>236.4</v>
      </c>
      <c r="H23" s="4">
        <v>1.3</v>
      </c>
      <c r="I23" s="4">
        <v>37.5</v>
      </c>
      <c r="J23" s="4">
        <v>173.8</v>
      </c>
      <c r="K23" s="4">
        <v>4.6</v>
      </c>
      <c r="L23" s="4">
        <v>3.2</v>
      </c>
      <c r="M23" s="4">
        <v>64.8</v>
      </c>
      <c r="N23" s="4">
        <v>410.2</v>
      </c>
      <c r="O23" s="4">
        <v>6.3</v>
      </c>
      <c r="P23" s="4">
        <v>9.8</v>
      </c>
      <c r="Q23" s="4">
        <v>9.7</v>
      </c>
      <c r="R23" s="4">
        <v>1.4</v>
      </c>
      <c r="S23" s="4">
        <v>20.8</v>
      </c>
      <c r="T23" s="4">
        <v>7.3</v>
      </c>
      <c r="U23" s="4">
        <v>69.1</v>
      </c>
      <c r="V23" s="4">
        <v>0.8</v>
      </c>
      <c r="W23" s="4">
        <v>0.8</v>
      </c>
      <c r="X23" s="4">
        <v>1.6</v>
      </c>
    </row>
    <row r="24" ht="15.75" customHeight="1">
      <c r="A24" s="7" t="s">
        <v>50</v>
      </c>
      <c r="B24" s="4">
        <v>12.0</v>
      </c>
      <c r="C24" s="4">
        <v>33.5</v>
      </c>
      <c r="D24" s="4">
        <v>18.8</v>
      </c>
      <c r="E24" s="4">
        <v>32.5</v>
      </c>
      <c r="F24" s="4">
        <v>57.9</v>
      </c>
      <c r="G24" s="4">
        <v>230.7</v>
      </c>
      <c r="H24" s="4">
        <v>1.0</v>
      </c>
      <c r="I24" s="4">
        <v>38.0</v>
      </c>
      <c r="J24" s="4">
        <v>253.6</v>
      </c>
      <c r="K24" s="4">
        <v>6.7</v>
      </c>
      <c r="L24" s="4">
        <v>3.1</v>
      </c>
      <c r="M24" s="4">
        <v>70.5</v>
      </c>
      <c r="N24" s="4">
        <v>484.3</v>
      </c>
      <c r="O24" s="4">
        <v>6.9</v>
      </c>
      <c r="P24" s="4">
        <v>10.4</v>
      </c>
      <c r="Q24" s="4">
        <v>12.4</v>
      </c>
      <c r="R24" s="4">
        <v>2.0</v>
      </c>
      <c r="S24" s="4">
        <v>24.8</v>
      </c>
      <c r="T24" s="4">
        <v>9.3</v>
      </c>
      <c r="U24" s="4">
        <v>81.5</v>
      </c>
      <c r="V24" s="4">
        <v>0.6</v>
      </c>
      <c r="W24" s="4">
        <v>1.0</v>
      </c>
      <c r="X24" s="4">
        <v>1.6</v>
      </c>
    </row>
    <row r="25" ht="15.75" customHeight="1">
      <c r="A25" s="7" t="s">
        <v>184</v>
      </c>
      <c r="B25" s="4">
        <v>13.0</v>
      </c>
      <c r="C25" s="4">
        <v>33.5</v>
      </c>
      <c r="D25" s="4">
        <v>27.2</v>
      </c>
      <c r="E25" s="4">
        <v>43.2</v>
      </c>
      <c r="F25" s="4">
        <v>62.8</v>
      </c>
      <c r="G25" s="4">
        <v>328.2</v>
      </c>
      <c r="H25" s="4">
        <v>2.5</v>
      </c>
      <c r="I25" s="4">
        <v>29.5</v>
      </c>
      <c r="J25" s="4">
        <v>160.6</v>
      </c>
      <c r="K25" s="4">
        <v>5.4</v>
      </c>
      <c r="L25" s="4">
        <v>1.8</v>
      </c>
      <c r="M25" s="4">
        <v>72.8</v>
      </c>
      <c r="N25" s="4">
        <v>488.8</v>
      </c>
      <c r="O25" s="4">
        <v>6.7</v>
      </c>
      <c r="P25" s="4">
        <v>14.5</v>
      </c>
      <c r="Q25" s="4">
        <v>6.7</v>
      </c>
      <c r="R25" s="4">
        <v>2.6</v>
      </c>
      <c r="S25" s="4">
        <v>23.8</v>
      </c>
      <c r="T25" s="4">
        <v>7.0</v>
      </c>
      <c r="U25" s="4">
        <v>59.5</v>
      </c>
      <c r="V25" s="4">
        <v>0.6</v>
      </c>
      <c r="W25" s="4">
        <v>1.1</v>
      </c>
      <c r="X25" s="4">
        <v>1.7</v>
      </c>
    </row>
    <row r="26" ht="15.75" customHeight="1">
      <c r="A26" s="7" t="s">
        <v>321</v>
      </c>
      <c r="B26" s="4">
        <v>13.0</v>
      </c>
      <c r="C26" s="4">
        <v>33.5</v>
      </c>
      <c r="D26" s="4">
        <v>25.1</v>
      </c>
      <c r="E26" s="4">
        <v>37.5</v>
      </c>
      <c r="F26" s="4">
        <v>66.8</v>
      </c>
      <c r="G26" s="4">
        <v>312.9</v>
      </c>
      <c r="H26" s="4">
        <v>2.2</v>
      </c>
      <c r="I26" s="4">
        <v>30.8</v>
      </c>
      <c r="J26" s="4">
        <v>113.9</v>
      </c>
      <c r="K26" s="4">
        <v>3.7</v>
      </c>
      <c r="L26" s="4">
        <v>2.0</v>
      </c>
      <c r="M26" s="4">
        <v>68.3</v>
      </c>
      <c r="N26" s="4">
        <v>426.8</v>
      </c>
      <c r="O26" s="4">
        <v>6.2</v>
      </c>
      <c r="P26" s="4">
        <v>13.5</v>
      </c>
      <c r="Q26" s="4">
        <v>7.7</v>
      </c>
      <c r="R26" s="4">
        <v>1.4</v>
      </c>
      <c r="S26" s="4">
        <v>22.5</v>
      </c>
      <c r="T26" s="4">
        <v>5.6</v>
      </c>
      <c r="U26" s="4">
        <v>53.2</v>
      </c>
      <c r="V26" s="4">
        <v>0.8</v>
      </c>
      <c r="W26" s="4">
        <v>0.8</v>
      </c>
      <c r="X26" s="4">
        <v>1.7</v>
      </c>
    </row>
    <row r="27" ht="15.75" customHeight="1">
      <c r="A27" s="7" t="s">
        <v>145</v>
      </c>
      <c r="B27" s="4">
        <v>13.0</v>
      </c>
      <c r="C27" s="4">
        <v>33.3</v>
      </c>
      <c r="D27" s="4">
        <v>17.8</v>
      </c>
      <c r="E27" s="4">
        <v>29.4</v>
      </c>
      <c r="F27" s="4">
        <v>60.7</v>
      </c>
      <c r="G27" s="4">
        <v>216.1</v>
      </c>
      <c r="H27" s="4">
        <v>2.2</v>
      </c>
      <c r="I27" s="4">
        <v>40.0</v>
      </c>
      <c r="J27" s="4">
        <v>191.5</v>
      </c>
      <c r="K27" s="4">
        <v>4.8</v>
      </c>
      <c r="L27" s="4">
        <v>1.5</v>
      </c>
      <c r="M27" s="4">
        <v>69.4</v>
      </c>
      <c r="N27" s="4">
        <v>407.6</v>
      </c>
      <c r="O27" s="4">
        <v>5.9</v>
      </c>
      <c r="P27" s="4">
        <v>9.4</v>
      </c>
      <c r="Q27" s="4">
        <v>10.0</v>
      </c>
      <c r="R27" s="4">
        <v>1.3</v>
      </c>
      <c r="S27" s="4">
        <v>20.7</v>
      </c>
      <c r="T27" s="4">
        <v>7.0</v>
      </c>
      <c r="U27" s="4">
        <v>54.5</v>
      </c>
      <c r="V27" s="4">
        <v>0.4</v>
      </c>
      <c r="W27" s="4">
        <v>0.3</v>
      </c>
      <c r="X27" s="4">
        <v>0.7</v>
      </c>
    </row>
    <row r="28" ht="15.75" customHeight="1">
      <c r="A28" s="7" t="s">
        <v>322</v>
      </c>
      <c r="B28" s="4">
        <v>13.0</v>
      </c>
      <c r="C28" s="4">
        <v>33.2</v>
      </c>
      <c r="D28" s="4">
        <v>24.4</v>
      </c>
      <c r="E28" s="4">
        <v>39.2</v>
      </c>
      <c r="F28" s="4">
        <v>62.3</v>
      </c>
      <c r="G28" s="4">
        <v>283.5</v>
      </c>
      <c r="H28" s="4">
        <v>2.1</v>
      </c>
      <c r="I28" s="4">
        <v>37.7</v>
      </c>
      <c r="J28" s="4">
        <v>167.7</v>
      </c>
      <c r="K28" s="4">
        <v>4.4</v>
      </c>
      <c r="L28" s="4">
        <v>1.6</v>
      </c>
      <c r="M28" s="4">
        <v>76.8</v>
      </c>
      <c r="N28" s="4">
        <v>451.2</v>
      </c>
      <c r="O28" s="4">
        <v>5.9</v>
      </c>
      <c r="P28" s="4">
        <v>12.2</v>
      </c>
      <c r="Q28" s="4">
        <v>7.5</v>
      </c>
      <c r="R28" s="4">
        <v>1.8</v>
      </c>
      <c r="S28" s="4">
        <v>21.5</v>
      </c>
      <c r="T28" s="4">
        <v>8.7</v>
      </c>
      <c r="U28" s="4">
        <v>81.1</v>
      </c>
      <c r="V28" s="4">
        <v>0.6</v>
      </c>
      <c r="W28" s="4">
        <v>1.0</v>
      </c>
      <c r="X28" s="4">
        <v>1.6</v>
      </c>
    </row>
    <row r="29" ht="15.75" customHeight="1">
      <c r="A29" s="7" t="s">
        <v>200</v>
      </c>
      <c r="B29" s="4">
        <v>16.0</v>
      </c>
      <c r="C29" s="4">
        <v>33.1</v>
      </c>
      <c r="D29" s="4">
        <v>18.3</v>
      </c>
      <c r="E29" s="4">
        <v>27.3</v>
      </c>
      <c r="F29" s="4">
        <v>66.8</v>
      </c>
      <c r="G29" s="4">
        <v>227.9</v>
      </c>
      <c r="H29" s="4">
        <v>1.9</v>
      </c>
      <c r="I29" s="4">
        <v>38.4</v>
      </c>
      <c r="J29" s="4">
        <v>202.3</v>
      </c>
      <c r="K29" s="4">
        <v>5.3</v>
      </c>
      <c r="L29" s="4">
        <v>2.2</v>
      </c>
      <c r="M29" s="4">
        <v>65.8</v>
      </c>
      <c r="N29" s="4">
        <v>430.2</v>
      </c>
      <c r="O29" s="4">
        <v>6.5</v>
      </c>
      <c r="P29" s="4">
        <v>11.1</v>
      </c>
      <c r="Q29" s="4">
        <v>10.5</v>
      </c>
      <c r="R29" s="4">
        <v>1.4</v>
      </c>
      <c r="S29" s="4">
        <v>22.9</v>
      </c>
      <c r="T29" s="4">
        <v>5.3</v>
      </c>
      <c r="U29" s="4">
        <v>50.3</v>
      </c>
      <c r="V29" s="4">
        <v>0.3</v>
      </c>
      <c r="W29" s="4">
        <v>0.6</v>
      </c>
      <c r="X29" s="4">
        <v>0.9</v>
      </c>
    </row>
    <row r="30" ht="15.75" customHeight="1">
      <c r="A30" s="7" t="s">
        <v>219</v>
      </c>
      <c r="B30" s="4">
        <v>16.0</v>
      </c>
      <c r="C30" s="4">
        <v>33.0</v>
      </c>
      <c r="D30" s="4">
        <v>22.3</v>
      </c>
      <c r="E30" s="4">
        <v>33.8</v>
      </c>
      <c r="F30" s="4">
        <v>66.0</v>
      </c>
      <c r="G30" s="4">
        <v>278.8</v>
      </c>
      <c r="H30" s="4">
        <v>2.5</v>
      </c>
      <c r="I30" s="4">
        <v>36.6</v>
      </c>
      <c r="J30" s="4">
        <v>158.8</v>
      </c>
      <c r="K30" s="4">
        <v>4.3</v>
      </c>
      <c r="L30" s="4">
        <v>1.6</v>
      </c>
      <c r="M30" s="4">
        <v>70.4</v>
      </c>
      <c r="N30" s="4">
        <v>437.5</v>
      </c>
      <c r="O30" s="4">
        <v>6.2</v>
      </c>
      <c r="P30" s="4">
        <v>11.8</v>
      </c>
      <c r="Q30" s="4">
        <v>8.6</v>
      </c>
      <c r="R30" s="4">
        <v>1.8</v>
      </c>
      <c r="S30" s="4">
        <v>22.1</v>
      </c>
      <c r="T30" s="4">
        <v>6.4</v>
      </c>
      <c r="U30" s="4">
        <v>51.8</v>
      </c>
      <c r="V30" s="4">
        <v>0.8</v>
      </c>
      <c r="W30" s="4">
        <v>0.9</v>
      </c>
      <c r="X30" s="4">
        <v>1.6</v>
      </c>
    </row>
    <row r="31" ht="15.75" customHeight="1">
      <c r="A31" s="7" t="s">
        <v>116</v>
      </c>
      <c r="B31" s="4">
        <v>14.0</v>
      </c>
      <c r="C31" s="4">
        <v>32.9</v>
      </c>
      <c r="D31" s="4">
        <v>16.7</v>
      </c>
      <c r="E31" s="4">
        <v>27.3</v>
      </c>
      <c r="F31" s="4">
        <v>61.3</v>
      </c>
      <c r="G31" s="4">
        <v>229.5</v>
      </c>
      <c r="H31" s="4">
        <v>1.9</v>
      </c>
      <c r="I31" s="4">
        <v>42.2</v>
      </c>
      <c r="J31" s="4">
        <v>199.9</v>
      </c>
      <c r="K31" s="4">
        <v>4.7</v>
      </c>
      <c r="L31" s="4">
        <v>2.1</v>
      </c>
      <c r="M31" s="4">
        <v>69.5</v>
      </c>
      <c r="N31" s="4">
        <v>429.4</v>
      </c>
      <c r="O31" s="4">
        <v>6.2</v>
      </c>
      <c r="P31" s="4">
        <v>9.6</v>
      </c>
      <c r="Q31" s="4">
        <v>11.1</v>
      </c>
      <c r="R31" s="4">
        <v>1.8</v>
      </c>
      <c r="S31" s="4">
        <v>22.5</v>
      </c>
      <c r="T31" s="4">
        <v>6.4</v>
      </c>
      <c r="U31" s="4">
        <v>53.6</v>
      </c>
      <c r="V31" s="4">
        <v>0.2</v>
      </c>
      <c r="W31" s="4">
        <v>0.4</v>
      </c>
      <c r="X31" s="4">
        <v>0.6</v>
      </c>
    </row>
    <row r="32" ht="15.75" customHeight="1">
      <c r="A32" s="7" t="s">
        <v>69</v>
      </c>
      <c r="B32" s="4">
        <v>13.0</v>
      </c>
      <c r="C32" s="4">
        <v>32.9</v>
      </c>
      <c r="D32" s="4">
        <v>27.2</v>
      </c>
      <c r="E32" s="4">
        <v>37.1</v>
      </c>
      <c r="F32" s="4">
        <v>73.2</v>
      </c>
      <c r="G32" s="4">
        <v>318.0</v>
      </c>
      <c r="H32" s="4">
        <v>2.8</v>
      </c>
      <c r="I32" s="4">
        <v>26.2</v>
      </c>
      <c r="J32" s="4">
        <v>65.2</v>
      </c>
      <c r="K32" s="4">
        <v>2.5</v>
      </c>
      <c r="L32" s="4">
        <v>1.2</v>
      </c>
      <c r="M32" s="4">
        <v>63.3</v>
      </c>
      <c r="N32" s="4">
        <v>383.2</v>
      </c>
      <c r="O32" s="4">
        <v>6.1</v>
      </c>
      <c r="P32" s="4">
        <v>13.2</v>
      </c>
      <c r="Q32" s="4">
        <v>4.8</v>
      </c>
      <c r="R32" s="4">
        <v>2.4</v>
      </c>
      <c r="S32" s="4">
        <v>20.4</v>
      </c>
      <c r="T32" s="4">
        <v>7.7</v>
      </c>
      <c r="U32" s="4">
        <v>67.8</v>
      </c>
      <c r="V32" s="4">
        <v>0.4</v>
      </c>
      <c r="W32" s="4">
        <v>0.8</v>
      </c>
      <c r="X32" s="4">
        <v>1.2</v>
      </c>
    </row>
    <row r="33" ht="15.75" customHeight="1">
      <c r="A33" s="7" t="s">
        <v>323</v>
      </c>
      <c r="B33" s="4">
        <v>13.0</v>
      </c>
      <c r="C33" s="4">
        <v>32.9</v>
      </c>
      <c r="D33" s="4">
        <v>23.2</v>
      </c>
      <c r="E33" s="4">
        <v>38.5</v>
      </c>
      <c r="F33" s="4">
        <v>60.4</v>
      </c>
      <c r="G33" s="4">
        <v>266.9</v>
      </c>
      <c r="H33" s="4">
        <v>2.2</v>
      </c>
      <c r="I33" s="4">
        <v>32.4</v>
      </c>
      <c r="J33" s="4">
        <v>141.8</v>
      </c>
      <c r="K33" s="4">
        <v>4.4</v>
      </c>
      <c r="L33" s="4">
        <v>1.2</v>
      </c>
      <c r="M33" s="4">
        <v>70.8</v>
      </c>
      <c r="N33" s="4">
        <v>408.7</v>
      </c>
      <c r="O33" s="4">
        <v>5.8</v>
      </c>
      <c r="P33" s="4">
        <v>12.2</v>
      </c>
      <c r="Q33" s="4">
        <v>7.8</v>
      </c>
      <c r="R33" s="4">
        <v>3.2</v>
      </c>
      <c r="S33" s="4">
        <v>23.2</v>
      </c>
      <c r="T33" s="4">
        <v>7.1</v>
      </c>
      <c r="U33" s="4">
        <v>61.4</v>
      </c>
      <c r="V33" s="4">
        <v>0.3</v>
      </c>
      <c r="W33" s="4">
        <v>1.2</v>
      </c>
      <c r="X33" s="4">
        <v>1.5</v>
      </c>
    </row>
    <row r="34" ht="15.75" customHeight="1">
      <c r="A34" s="7" t="s">
        <v>212</v>
      </c>
      <c r="B34" s="4">
        <v>13.0</v>
      </c>
      <c r="C34" s="4">
        <v>32.2</v>
      </c>
      <c r="D34" s="4">
        <v>20.2</v>
      </c>
      <c r="E34" s="4">
        <v>34.1</v>
      </c>
      <c r="F34" s="4">
        <v>59.1</v>
      </c>
      <c r="G34" s="4">
        <v>227.5</v>
      </c>
      <c r="H34" s="4">
        <v>1.2</v>
      </c>
      <c r="I34" s="4">
        <v>37.8</v>
      </c>
      <c r="J34" s="4">
        <v>180.2</v>
      </c>
      <c r="K34" s="4">
        <v>4.8</v>
      </c>
      <c r="L34" s="4">
        <v>2.6</v>
      </c>
      <c r="M34" s="4">
        <v>71.9</v>
      </c>
      <c r="N34" s="4">
        <v>407.7</v>
      </c>
      <c r="O34" s="4">
        <v>5.7</v>
      </c>
      <c r="P34" s="4">
        <v>10.0</v>
      </c>
      <c r="Q34" s="4">
        <v>8.2</v>
      </c>
      <c r="R34" s="4">
        <v>2.2</v>
      </c>
      <c r="S34" s="4">
        <v>20.4</v>
      </c>
      <c r="T34" s="4">
        <v>8.1</v>
      </c>
      <c r="U34" s="4">
        <v>70.9</v>
      </c>
      <c r="V34" s="4">
        <v>0.6</v>
      </c>
      <c r="W34" s="4">
        <v>0.8</v>
      </c>
      <c r="X34" s="4">
        <v>1.4</v>
      </c>
    </row>
    <row r="35" ht="15.75" customHeight="1">
      <c r="A35" s="7" t="s">
        <v>132</v>
      </c>
      <c r="B35" s="4">
        <v>13.0</v>
      </c>
      <c r="C35" s="4">
        <v>32.0</v>
      </c>
      <c r="D35" s="4">
        <v>19.8</v>
      </c>
      <c r="E35" s="4">
        <v>32.9</v>
      </c>
      <c r="F35" s="4">
        <v>60.3</v>
      </c>
      <c r="G35" s="4">
        <v>264.0</v>
      </c>
      <c r="H35" s="4">
        <v>2.0</v>
      </c>
      <c r="I35" s="4">
        <v>36.2</v>
      </c>
      <c r="J35" s="4">
        <v>172.4</v>
      </c>
      <c r="K35" s="4">
        <v>4.8</v>
      </c>
      <c r="L35" s="4">
        <v>1.8</v>
      </c>
      <c r="M35" s="4">
        <v>69.2</v>
      </c>
      <c r="N35" s="4">
        <v>436.4</v>
      </c>
      <c r="O35" s="4">
        <v>6.3</v>
      </c>
      <c r="P35" s="4">
        <v>11.6</v>
      </c>
      <c r="Q35" s="4">
        <v>8.7</v>
      </c>
      <c r="R35" s="4">
        <v>1.7</v>
      </c>
      <c r="S35" s="4">
        <v>22.0</v>
      </c>
      <c r="T35" s="4">
        <v>7.6</v>
      </c>
      <c r="U35" s="4">
        <v>63.6</v>
      </c>
      <c r="V35" s="4">
        <v>0.5</v>
      </c>
      <c r="W35" s="4">
        <v>1.8</v>
      </c>
      <c r="X35" s="4">
        <v>2.3</v>
      </c>
    </row>
    <row r="36" ht="15.75" customHeight="1">
      <c r="A36" s="7" t="s">
        <v>162</v>
      </c>
      <c r="B36" s="4">
        <v>13.0</v>
      </c>
      <c r="C36" s="4">
        <v>31.9</v>
      </c>
      <c r="D36" s="4">
        <v>17.1</v>
      </c>
      <c r="E36" s="4">
        <v>30.5</v>
      </c>
      <c r="F36" s="4">
        <v>56.1</v>
      </c>
      <c r="G36" s="4">
        <v>198.4</v>
      </c>
      <c r="H36" s="4">
        <v>1.9</v>
      </c>
      <c r="I36" s="4">
        <v>39.7</v>
      </c>
      <c r="J36" s="4">
        <v>199.2</v>
      </c>
      <c r="K36" s="4">
        <v>5.0</v>
      </c>
      <c r="L36" s="4">
        <v>1.8</v>
      </c>
      <c r="M36" s="4">
        <v>70.2</v>
      </c>
      <c r="N36" s="4">
        <v>397.6</v>
      </c>
      <c r="O36" s="4">
        <v>5.7</v>
      </c>
      <c r="P36" s="4">
        <v>8.8</v>
      </c>
      <c r="Q36" s="4">
        <v>9.3</v>
      </c>
      <c r="R36" s="4">
        <v>2.5</v>
      </c>
      <c r="S36" s="4">
        <v>20.6</v>
      </c>
      <c r="T36" s="4">
        <v>5.3</v>
      </c>
      <c r="U36" s="4">
        <v>52.7</v>
      </c>
      <c r="V36" s="4">
        <v>0.5</v>
      </c>
      <c r="W36" s="4">
        <v>0.7</v>
      </c>
      <c r="X36" s="4">
        <v>1.2</v>
      </c>
    </row>
    <row r="37" ht="15.75" customHeight="1">
      <c r="A37" s="7" t="s">
        <v>228</v>
      </c>
      <c r="B37" s="4">
        <v>12.0</v>
      </c>
      <c r="C37" s="4">
        <v>31.9</v>
      </c>
      <c r="D37" s="4">
        <v>24.5</v>
      </c>
      <c r="E37" s="4">
        <v>38.2</v>
      </c>
      <c r="F37" s="4">
        <v>64.2</v>
      </c>
      <c r="G37" s="4">
        <v>269.1</v>
      </c>
      <c r="H37" s="4">
        <v>2.4</v>
      </c>
      <c r="I37" s="4">
        <v>35.2</v>
      </c>
      <c r="J37" s="4">
        <v>198.6</v>
      </c>
      <c r="K37" s="4">
        <v>5.6</v>
      </c>
      <c r="L37" s="4">
        <v>1.8</v>
      </c>
      <c r="M37" s="4">
        <v>73.3</v>
      </c>
      <c r="N37" s="4">
        <v>467.7</v>
      </c>
      <c r="O37" s="4">
        <v>6.4</v>
      </c>
      <c r="P37" s="4">
        <v>11.7</v>
      </c>
      <c r="Q37" s="4">
        <v>9.0</v>
      </c>
      <c r="R37" s="4">
        <v>1.8</v>
      </c>
      <c r="S37" s="4">
        <v>22.5</v>
      </c>
      <c r="T37" s="4">
        <v>7.8</v>
      </c>
      <c r="U37" s="4">
        <v>73.8</v>
      </c>
      <c r="V37" s="4">
        <v>0.4</v>
      </c>
      <c r="W37" s="4">
        <v>1.4</v>
      </c>
      <c r="X37" s="4">
        <v>1.8</v>
      </c>
    </row>
    <row r="38" ht="15.75" customHeight="1">
      <c r="A38" s="7" t="s">
        <v>159</v>
      </c>
      <c r="B38" s="4">
        <v>13.0</v>
      </c>
      <c r="C38" s="4">
        <v>31.8</v>
      </c>
      <c r="D38" s="4">
        <v>14.9</v>
      </c>
      <c r="E38" s="4">
        <v>25.6</v>
      </c>
      <c r="F38" s="4">
        <v>58.3</v>
      </c>
      <c r="G38" s="4">
        <v>181.1</v>
      </c>
      <c r="H38" s="4">
        <v>2.1</v>
      </c>
      <c r="I38" s="4">
        <v>39.2</v>
      </c>
      <c r="J38" s="4">
        <v>201.7</v>
      </c>
      <c r="K38" s="4">
        <v>5.2</v>
      </c>
      <c r="L38" s="4">
        <v>1.6</v>
      </c>
      <c r="M38" s="4">
        <v>64.8</v>
      </c>
      <c r="N38" s="4">
        <v>382.8</v>
      </c>
      <c r="O38" s="4">
        <v>5.9</v>
      </c>
      <c r="P38" s="4">
        <v>7.8</v>
      </c>
      <c r="Q38" s="4">
        <v>10.5</v>
      </c>
      <c r="R38" s="4">
        <v>1.6</v>
      </c>
      <c r="S38" s="4">
        <v>19.8</v>
      </c>
      <c r="T38" s="4">
        <v>5.4</v>
      </c>
      <c r="U38" s="4">
        <v>43.5</v>
      </c>
      <c r="V38" s="4">
        <v>0.5</v>
      </c>
      <c r="W38" s="4">
        <v>0.3</v>
      </c>
      <c r="X38" s="4">
        <v>0.8</v>
      </c>
    </row>
    <row r="39" ht="15.75" customHeight="1">
      <c r="A39" s="7" t="s">
        <v>136</v>
      </c>
      <c r="B39" s="4">
        <v>14.0</v>
      </c>
      <c r="C39" s="4">
        <v>31.5</v>
      </c>
      <c r="D39" s="4">
        <v>24.0</v>
      </c>
      <c r="E39" s="4">
        <v>36.6</v>
      </c>
      <c r="F39" s="4">
        <v>65.5</v>
      </c>
      <c r="G39" s="4">
        <v>281.0</v>
      </c>
      <c r="H39" s="4">
        <v>2.1</v>
      </c>
      <c r="I39" s="4">
        <v>30.6</v>
      </c>
      <c r="J39" s="4">
        <v>124.4</v>
      </c>
      <c r="K39" s="4">
        <v>4.1</v>
      </c>
      <c r="L39" s="4">
        <v>1.7</v>
      </c>
      <c r="M39" s="4">
        <v>67.3</v>
      </c>
      <c r="N39" s="4">
        <v>405.4</v>
      </c>
      <c r="O39" s="4">
        <v>6.0</v>
      </c>
      <c r="P39" s="4">
        <v>12.9</v>
      </c>
      <c r="Q39" s="4">
        <v>7.3</v>
      </c>
      <c r="R39" s="4">
        <v>1.6</v>
      </c>
      <c r="S39" s="4">
        <v>21.9</v>
      </c>
      <c r="T39" s="4">
        <v>5.7</v>
      </c>
      <c r="U39" s="4">
        <v>53.6</v>
      </c>
      <c r="V39" s="4">
        <v>0.5</v>
      </c>
      <c r="W39" s="4">
        <v>0.9</v>
      </c>
      <c r="X39" s="4">
        <v>1.4</v>
      </c>
    </row>
    <row r="40" ht="15.75" customHeight="1">
      <c r="A40" s="7" t="s">
        <v>175</v>
      </c>
      <c r="B40" s="4">
        <v>13.0</v>
      </c>
      <c r="C40" s="4">
        <v>31.3</v>
      </c>
      <c r="D40" s="4">
        <v>7.6</v>
      </c>
      <c r="E40" s="4">
        <v>13.8</v>
      </c>
      <c r="F40" s="4">
        <v>55.3</v>
      </c>
      <c r="G40" s="4">
        <v>123.8</v>
      </c>
      <c r="H40" s="4">
        <v>1.2</v>
      </c>
      <c r="I40" s="4">
        <v>45.5</v>
      </c>
      <c r="J40" s="4">
        <v>247.5</v>
      </c>
      <c r="K40" s="4">
        <v>5.4</v>
      </c>
      <c r="L40" s="4">
        <v>2.9</v>
      </c>
      <c r="M40" s="4">
        <v>59.3</v>
      </c>
      <c r="N40" s="4">
        <v>371.3</v>
      </c>
      <c r="O40" s="4">
        <v>6.3</v>
      </c>
      <c r="P40" s="4">
        <v>4.8</v>
      </c>
      <c r="Q40" s="4">
        <v>11.4</v>
      </c>
      <c r="R40" s="4">
        <v>0.8</v>
      </c>
      <c r="S40" s="4">
        <v>17.0</v>
      </c>
      <c r="T40" s="4">
        <v>5.1</v>
      </c>
      <c r="U40" s="4">
        <v>45.0</v>
      </c>
      <c r="V40" s="4">
        <v>0.6</v>
      </c>
      <c r="W40" s="4">
        <v>0.5</v>
      </c>
      <c r="X40" s="4">
        <v>1.1</v>
      </c>
    </row>
    <row r="41" ht="15.75" customHeight="1">
      <c r="A41" s="7" t="s">
        <v>126</v>
      </c>
      <c r="B41" s="4">
        <v>13.0</v>
      </c>
      <c r="C41" s="4">
        <v>31.2</v>
      </c>
      <c r="D41" s="4">
        <v>16.7</v>
      </c>
      <c r="E41" s="4">
        <v>29.2</v>
      </c>
      <c r="F41" s="4">
        <v>57.3</v>
      </c>
      <c r="G41" s="4">
        <v>231.3</v>
      </c>
      <c r="H41" s="4">
        <v>1.6</v>
      </c>
      <c r="I41" s="4">
        <v>35.2</v>
      </c>
      <c r="J41" s="4">
        <v>161.0</v>
      </c>
      <c r="K41" s="4">
        <v>4.6</v>
      </c>
      <c r="L41" s="4">
        <v>1.5</v>
      </c>
      <c r="M41" s="4">
        <v>64.3</v>
      </c>
      <c r="N41" s="4">
        <v>392.3</v>
      </c>
      <c r="O41" s="4">
        <v>6.1</v>
      </c>
      <c r="P41" s="4">
        <v>10.8</v>
      </c>
      <c r="Q41" s="4">
        <v>9.8</v>
      </c>
      <c r="R41" s="4">
        <v>1.6</v>
      </c>
      <c r="S41" s="4">
        <v>22.2</v>
      </c>
      <c r="T41" s="4">
        <v>5.1</v>
      </c>
      <c r="U41" s="4">
        <v>43.2</v>
      </c>
      <c r="V41" s="4">
        <v>0.5</v>
      </c>
      <c r="W41" s="4">
        <v>1.1</v>
      </c>
      <c r="X41" s="4">
        <v>1.6</v>
      </c>
    </row>
    <row r="42" ht="15.75" customHeight="1">
      <c r="A42" s="7" t="s">
        <v>97</v>
      </c>
      <c r="B42" s="4">
        <v>14.0</v>
      </c>
      <c r="C42" s="4">
        <v>31.1</v>
      </c>
      <c r="D42" s="4">
        <v>4.7</v>
      </c>
      <c r="E42" s="4">
        <v>8.7</v>
      </c>
      <c r="F42" s="4">
        <v>54.1</v>
      </c>
      <c r="G42" s="4">
        <v>80.6</v>
      </c>
      <c r="H42" s="4">
        <v>0.7</v>
      </c>
      <c r="I42" s="4">
        <v>54.6</v>
      </c>
      <c r="J42" s="4">
        <v>300.5</v>
      </c>
      <c r="K42" s="4">
        <v>5.5</v>
      </c>
      <c r="L42" s="4">
        <v>3.4</v>
      </c>
      <c r="M42" s="4">
        <v>63.3</v>
      </c>
      <c r="N42" s="4">
        <v>381.1</v>
      </c>
      <c r="O42" s="4">
        <v>6.0</v>
      </c>
      <c r="P42" s="4">
        <v>3.1</v>
      </c>
      <c r="Q42" s="4">
        <v>16.4</v>
      </c>
      <c r="R42" s="4">
        <v>1.3</v>
      </c>
      <c r="S42" s="4">
        <v>20.9</v>
      </c>
      <c r="T42" s="4">
        <v>3.2</v>
      </c>
      <c r="U42" s="4">
        <v>31.5</v>
      </c>
      <c r="V42" s="4">
        <v>0.4</v>
      </c>
      <c r="W42" s="4">
        <v>0.3</v>
      </c>
      <c r="X42" s="4">
        <v>0.6</v>
      </c>
    </row>
    <row r="43" ht="15.75" customHeight="1">
      <c r="A43" s="7" t="s">
        <v>143</v>
      </c>
      <c r="B43" s="4">
        <v>14.0</v>
      </c>
      <c r="C43" s="4">
        <v>31.1</v>
      </c>
      <c r="D43" s="4">
        <v>19.8</v>
      </c>
      <c r="E43" s="4">
        <v>33.8</v>
      </c>
      <c r="F43" s="4">
        <v>58.6</v>
      </c>
      <c r="G43" s="4">
        <v>255.7</v>
      </c>
      <c r="H43" s="4">
        <v>1.8</v>
      </c>
      <c r="I43" s="4">
        <v>36.9</v>
      </c>
      <c r="J43" s="4">
        <v>160.5</v>
      </c>
      <c r="K43" s="4">
        <v>4.4</v>
      </c>
      <c r="L43" s="4">
        <v>1.9</v>
      </c>
      <c r="M43" s="4">
        <v>70.6</v>
      </c>
      <c r="N43" s="4">
        <v>416.2</v>
      </c>
      <c r="O43" s="4">
        <v>5.9</v>
      </c>
      <c r="P43" s="4">
        <v>11.4</v>
      </c>
      <c r="Q43" s="4">
        <v>8.7</v>
      </c>
      <c r="R43" s="4">
        <v>2.5</v>
      </c>
      <c r="S43" s="4">
        <v>22.6</v>
      </c>
      <c r="T43" s="4">
        <v>3.8</v>
      </c>
      <c r="U43" s="4">
        <v>28.0</v>
      </c>
      <c r="V43" s="4">
        <v>0.4</v>
      </c>
      <c r="W43" s="4">
        <v>0.7</v>
      </c>
      <c r="X43" s="4">
        <v>1.1</v>
      </c>
    </row>
    <row r="44" ht="15.75" customHeight="1">
      <c r="A44" s="7" t="s">
        <v>57</v>
      </c>
      <c r="B44" s="4">
        <v>13.0</v>
      </c>
      <c r="C44" s="4">
        <v>30.9</v>
      </c>
      <c r="D44" s="4">
        <v>19.6</v>
      </c>
      <c r="E44" s="4">
        <v>31.8</v>
      </c>
      <c r="F44" s="4">
        <v>61.6</v>
      </c>
      <c r="G44" s="4">
        <v>274.7</v>
      </c>
      <c r="H44" s="4">
        <v>1.2</v>
      </c>
      <c r="I44" s="4">
        <v>38.0</v>
      </c>
      <c r="J44" s="4">
        <v>184.8</v>
      </c>
      <c r="K44" s="4">
        <v>4.9</v>
      </c>
      <c r="L44" s="4">
        <v>2.6</v>
      </c>
      <c r="M44" s="4">
        <v>69.8</v>
      </c>
      <c r="N44" s="4">
        <v>459.5</v>
      </c>
      <c r="O44" s="4">
        <v>6.6</v>
      </c>
      <c r="P44" s="4">
        <v>11.5</v>
      </c>
      <c r="Q44" s="4">
        <v>11.5</v>
      </c>
      <c r="R44" s="4">
        <v>1.2</v>
      </c>
      <c r="S44" s="4">
        <v>24.2</v>
      </c>
      <c r="T44" s="4">
        <v>7.2</v>
      </c>
      <c r="U44" s="4">
        <v>59.8</v>
      </c>
      <c r="V44" s="4">
        <v>1.1</v>
      </c>
      <c r="W44" s="4">
        <v>0.7</v>
      </c>
      <c r="X44" s="4">
        <v>1.8</v>
      </c>
    </row>
    <row r="45" ht="15.75" customHeight="1">
      <c r="A45" s="7" t="s">
        <v>153</v>
      </c>
      <c r="B45" s="4">
        <v>14.0</v>
      </c>
      <c r="C45" s="4">
        <v>30.9</v>
      </c>
      <c r="D45" s="4">
        <v>19.2</v>
      </c>
      <c r="E45" s="4">
        <v>29.4</v>
      </c>
      <c r="F45" s="4">
        <v>65.3</v>
      </c>
      <c r="G45" s="4">
        <v>248.7</v>
      </c>
      <c r="H45" s="4">
        <v>1.6</v>
      </c>
      <c r="I45" s="4">
        <v>34.6</v>
      </c>
      <c r="J45" s="4">
        <v>166.4</v>
      </c>
      <c r="K45" s="4">
        <v>4.8</v>
      </c>
      <c r="L45" s="4">
        <v>1.9</v>
      </c>
      <c r="M45" s="4">
        <v>64.0</v>
      </c>
      <c r="N45" s="4">
        <v>415.1</v>
      </c>
      <c r="O45" s="4">
        <v>6.5</v>
      </c>
      <c r="P45" s="4">
        <v>10.7</v>
      </c>
      <c r="Q45" s="4">
        <v>8.1</v>
      </c>
      <c r="R45" s="4">
        <v>1.9</v>
      </c>
      <c r="S45" s="4">
        <v>20.7</v>
      </c>
      <c r="T45" s="4">
        <v>5.9</v>
      </c>
      <c r="U45" s="4">
        <v>48.8</v>
      </c>
      <c r="V45" s="4">
        <v>0.1</v>
      </c>
      <c r="W45" s="4">
        <v>0.6</v>
      </c>
      <c r="X45" s="4">
        <v>0.8</v>
      </c>
    </row>
    <row r="46" ht="15.75" customHeight="1">
      <c r="A46" s="7" t="s">
        <v>79</v>
      </c>
      <c r="B46" s="4">
        <v>13.0</v>
      </c>
      <c r="C46" s="4">
        <v>30.9</v>
      </c>
      <c r="D46" s="4">
        <v>17.7</v>
      </c>
      <c r="E46" s="4">
        <v>30.2</v>
      </c>
      <c r="F46" s="4">
        <v>58.7</v>
      </c>
      <c r="G46" s="4">
        <v>224.4</v>
      </c>
      <c r="H46" s="4">
        <v>1.4</v>
      </c>
      <c r="I46" s="4">
        <v>38.2</v>
      </c>
      <c r="J46" s="4">
        <v>182.3</v>
      </c>
      <c r="K46" s="4">
        <v>4.8</v>
      </c>
      <c r="L46" s="4">
        <v>2.0</v>
      </c>
      <c r="M46" s="4">
        <v>68.3</v>
      </c>
      <c r="N46" s="4">
        <v>406.7</v>
      </c>
      <c r="O46" s="4">
        <v>6.0</v>
      </c>
      <c r="P46" s="4">
        <v>9.4</v>
      </c>
      <c r="Q46" s="4">
        <v>9.6</v>
      </c>
      <c r="R46" s="4">
        <v>2.0</v>
      </c>
      <c r="S46" s="4">
        <v>21.0</v>
      </c>
      <c r="T46" s="4">
        <v>7.5</v>
      </c>
      <c r="U46" s="4">
        <v>64.0</v>
      </c>
      <c r="V46" s="4">
        <v>0.6</v>
      </c>
      <c r="W46" s="4">
        <v>0.7</v>
      </c>
      <c r="X46" s="4">
        <v>1.3</v>
      </c>
    </row>
    <row r="47" ht="15.75" customHeight="1">
      <c r="A47" s="7" t="s">
        <v>147</v>
      </c>
      <c r="B47" s="4">
        <v>13.0</v>
      </c>
      <c r="C47" s="4">
        <v>30.8</v>
      </c>
      <c r="D47" s="4">
        <v>17.1</v>
      </c>
      <c r="E47" s="4">
        <v>29.5</v>
      </c>
      <c r="F47" s="4">
        <v>58.0</v>
      </c>
      <c r="G47" s="4">
        <v>211.4</v>
      </c>
      <c r="H47" s="4">
        <v>1.9</v>
      </c>
      <c r="I47" s="4">
        <v>35.5</v>
      </c>
      <c r="J47" s="4">
        <v>215.5</v>
      </c>
      <c r="K47" s="4">
        <v>6.1</v>
      </c>
      <c r="L47" s="4">
        <v>1.6</v>
      </c>
      <c r="M47" s="4">
        <v>64.9</v>
      </c>
      <c r="N47" s="4">
        <v>426.8</v>
      </c>
      <c r="O47" s="4">
        <v>6.6</v>
      </c>
      <c r="P47" s="4">
        <v>9.2</v>
      </c>
      <c r="Q47" s="4">
        <v>10.2</v>
      </c>
      <c r="R47" s="4">
        <v>0.8</v>
      </c>
      <c r="S47" s="4">
        <v>20.3</v>
      </c>
      <c r="T47" s="4">
        <v>5.5</v>
      </c>
      <c r="U47" s="4">
        <v>45.7</v>
      </c>
      <c r="V47" s="4">
        <v>0.5</v>
      </c>
      <c r="W47" s="4">
        <v>0.8</v>
      </c>
      <c r="X47" s="4">
        <v>1.2</v>
      </c>
    </row>
    <row r="48" ht="15.75" customHeight="1">
      <c r="A48" s="7" t="s">
        <v>324</v>
      </c>
      <c r="B48" s="4">
        <v>13.0</v>
      </c>
      <c r="C48" s="4">
        <v>30.5</v>
      </c>
      <c r="D48" s="4">
        <v>26.5</v>
      </c>
      <c r="E48" s="4">
        <v>41.1</v>
      </c>
      <c r="F48" s="4">
        <v>64.4</v>
      </c>
      <c r="G48" s="4">
        <v>315.2</v>
      </c>
      <c r="H48" s="4">
        <v>2.2</v>
      </c>
      <c r="I48" s="4">
        <v>28.7</v>
      </c>
      <c r="J48" s="4">
        <v>116.4</v>
      </c>
      <c r="K48" s="4">
        <v>4.1</v>
      </c>
      <c r="L48" s="4">
        <v>1.2</v>
      </c>
      <c r="M48" s="4">
        <v>69.8</v>
      </c>
      <c r="N48" s="4">
        <v>431.5</v>
      </c>
      <c r="O48" s="4">
        <v>6.2</v>
      </c>
      <c r="P48" s="4">
        <v>15.2</v>
      </c>
      <c r="Q48" s="4">
        <v>6.1</v>
      </c>
      <c r="R48" s="4">
        <v>2.3</v>
      </c>
      <c r="S48" s="4">
        <v>23.5</v>
      </c>
      <c r="T48" s="4">
        <v>6.3</v>
      </c>
      <c r="U48" s="4">
        <v>49.6</v>
      </c>
      <c r="V48" s="4">
        <v>0.4</v>
      </c>
      <c r="W48" s="4">
        <v>0.9</v>
      </c>
      <c r="X48" s="4">
        <v>1.3</v>
      </c>
    </row>
    <row r="49" ht="15.75" customHeight="1">
      <c r="A49" s="7" t="s">
        <v>210</v>
      </c>
      <c r="B49" s="4">
        <v>13.0</v>
      </c>
      <c r="C49" s="4">
        <v>30.5</v>
      </c>
      <c r="D49" s="4">
        <v>17.2</v>
      </c>
      <c r="E49" s="4">
        <v>26.3</v>
      </c>
      <c r="F49" s="4">
        <v>65.5</v>
      </c>
      <c r="G49" s="4">
        <v>223.4</v>
      </c>
      <c r="H49" s="4">
        <v>1.6</v>
      </c>
      <c r="I49" s="4">
        <v>42.4</v>
      </c>
      <c r="J49" s="4">
        <v>184.4</v>
      </c>
      <c r="K49" s="4">
        <v>4.4</v>
      </c>
      <c r="L49" s="4">
        <v>2.0</v>
      </c>
      <c r="M49" s="4">
        <v>68.7</v>
      </c>
      <c r="N49" s="4">
        <v>407.8</v>
      </c>
      <c r="O49" s="4">
        <v>5.9</v>
      </c>
      <c r="P49" s="4">
        <v>9.6</v>
      </c>
      <c r="Q49" s="4">
        <v>10.3</v>
      </c>
      <c r="R49" s="4">
        <v>1.6</v>
      </c>
      <c r="S49" s="4">
        <v>21.5</v>
      </c>
      <c r="T49" s="4">
        <v>6.7</v>
      </c>
      <c r="U49" s="4">
        <v>58.0</v>
      </c>
      <c r="V49" s="4">
        <v>1.1</v>
      </c>
      <c r="W49" s="4">
        <v>0.5</v>
      </c>
      <c r="X49" s="4">
        <v>1.6</v>
      </c>
    </row>
    <row r="50" ht="15.75" customHeight="1">
      <c r="A50" s="7" t="s">
        <v>191</v>
      </c>
      <c r="B50" s="4">
        <v>13.0</v>
      </c>
      <c r="C50" s="4">
        <v>30.4</v>
      </c>
      <c r="D50" s="4">
        <v>16.6</v>
      </c>
      <c r="E50" s="4">
        <v>27.8</v>
      </c>
      <c r="F50" s="4">
        <v>59.8</v>
      </c>
      <c r="G50" s="4">
        <v>210.3</v>
      </c>
      <c r="H50" s="4">
        <v>1.5</v>
      </c>
      <c r="I50" s="4">
        <v>40.5</v>
      </c>
      <c r="J50" s="4">
        <v>195.5</v>
      </c>
      <c r="K50" s="4">
        <v>4.8</v>
      </c>
      <c r="L50" s="4">
        <v>2.1</v>
      </c>
      <c r="M50" s="4">
        <v>68.2</v>
      </c>
      <c r="N50" s="4">
        <v>405.8</v>
      </c>
      <c r="O50" s="4">
        <v>5.9</v>
      </c>
      <c r="P50" s="4">
        <v>10.2</v>
      </c>
      <c r="Q50" s="4">
        <v>9.7</v>
      </c>
      <c r="R50" s="4">
        <v>1.6</v>
      </c>
      <c r="S50" s="4">
        <v>21.5</v>
      </c>
      <c r="T50" s="4">
        <v>7.5</v>
      </c>
      <c r="U50" s="4">
        <v>66.3</v>
      </c>
      <c r="V50" s="4">
        <v>0.3</v>
      </c>
      <c r="W50" s="4">
        <v>0.8</v>
      </c>
      <c r="X50" s="4">
        <v>1.2</v>
      </c>
    </row>
    <row r="51" ht="15.75" customHeight="1">
      <c r="A51" s="7" t="s">
        <v>325</v>
      </c>
      <c r="B51" s="4">
        <v>12.0</v>
      </c>
      <c r="C51" s="4">
        <v>30.4</v>
      </c>
      <c r="D51" s="4">
        <v>15.1</v>
      </c>
      <c r="E51" s="4">
        <v>25.9</v>
      </c>
      <c r="F51" s="4">
        <v>58.2</v>
      </c>
      <c r="G51" s="4">
        <v>199.7</v>
      </c>
      <c r="H51" s="4">
        <v>1.2</v>
      </c>
      <c r="I51" s="4">
        <v>43.0</v>
      </c>
      <c r="J51" s="4">
        <v>248.1</v>
      </c>
      <c r="K51" s="4">
        <v>5.8</v>
      </c>
      <c r="L51" s="4">
        <v>2.8</v>
      </c>
      <c r="M51" s="4">
        <v>68.9</v>
      </c>
      <c r="N51" s="4">
        <v>447.8</v>
      </c>
      <c r="O51" s="4">
        <v>6.5</v>
      </c>
      <c r="P51" s="4">
        <v>8.6</v>
      </c>
      <c r="Q51" s="4">
        <v>13.5</v>
      </c>
      <c r="R51" s="4">
        <v>1.5</v>
      </c>
      <c r="S51" s="4">
        <v>23.6</v>
      </c>
      <c r="T51" s="4">
        <v>6.5</v>
      </c>
      <c r="U51" s="4">
        <v>54.4</v>
      </c>
      <c r="V51" s="4">
        <v>0.7</v>
      </c>
      <c r="W51" s="4">
        <v>0.9</v>
      </c>
      <c r="X51" s="4">
        <v>1.6</v>
      </c>
    </row>
    <row r="52" ht="15.75" customHeight="1">
      <c r="A52" s="7" t="s">
        <v>326</v>
      </c>
      <c r="B52" s="4">
        <v>13.0</v>
      </c>
      <c r="C52" s="4">
        <v>30.2</v>
      </c>
      <c r="D52" s="4">
        <v>25.8</v>
      </c>
      <c r="E52" s="4">
        <v>41.1</v>
      </c>
      <c r="F52" s="4">
        <v>62.7</v>
      </c>
      <c r="G52" s="4">
        <v>291.9</v>
      </c>
      <c r="H52" s="4">
        <v>2.2</v>
      </c>
      <c r="I52" s="4">
        <v>28.2</v>
      </c>
      <c r="J52" s="4">
        <v>145.3</v>
      </c>
      <c r="K52" s="4">
        <v>5.2</v>
      </c>
      <c r="L52" s="4">
        <v>1.5</v>
      </c>
      <c r="M52" s="4">
        <v>69.2</v>
      </c>
      <c r="N52" s="4">
        <v>437.2</v>
      </c>
      <c r="O52" s="4">
        <v>6.3</v>
      </c>
      <c r="P52" s="4">
        <v>14.0</v>
      </c>
      <c r="Q52" s="4">
        <v>7.7</v>
      </c>
      <c r="R52" s="4">
        <v>1.6</v>
      </c>
      <c r="S52" s="4">
        <v>23.3</v>
      </c>
      <c r="T52" s="4">
        <v>5.8</v>
      </c>
      <c r="U52" s="4">
        <v>51.4</v>
      </c>
      <c r="V52" s="4">
        <v>0.5</v>
      </c>
      <c r="W52" s="4">
        <v>1.2</v>
      </c>
      <c r="X52" s="4">
        <v>1.6</v>
      </c>
    </row>
    <row r="53" ht="15.75" customHeight="1">
      <c r="A53" s="7" t="s">
        <v>73</v>
      </c>
      <c r="B53" s="4">
        <v>12.0</v>
      </c>
      <c r="C53" s="4">
        <v>29.7</v>
      </c>
      <c r="D53" s="4">
        <v>14.7</v>
      </c>
      <c r="E53" s="4">
        <v>25.5</v>
      </c>
      <c r="F53" s="4">
        <v>57.5</v>
      </c>
      <c r="G53" s="4">
        <v>208.8</v>
      </c>
      <c r="H53" s="4">
        <v>1.3</v>
      </c>
      <c r="I53" s="4">
        <v>38.3</v>
      </c>
      <c r="J53" s="4">
        <v>211.4</v>
      </c>
      <c r="K53" s="4">
        <v>5.5</v>
      </c>
      <c r="L53" s="4">
        <v>2.4</v>
      </c>
      <c r="M53" s="4">
        <v>63.8</v>
      </c>
      <c r="N53" s="4">
        <v>420.2</v>
      </c>
      <c r="O53" s="4">
        <v>6.6</v>
      </c>
      <c r="P53" s="4">
        <v>9.0</v>
      </c>
      <c r="Q53" s="4">
        <v>11.1</v>
      </c>
      <c r="R53" s="4">
        <v>1.4</v>
      </c>
      <c r="S53" s="4">
        <v>21.5</v>
      </c>
      <c r="T53" s="4">
        <v>4.5</v>
      </c>
      <c r="U53" s="4">
        <v>38.7</v>
      </c>
      <c r="V53" s="4">
        <v>0.4</v>
      </c>
      <c r="W53" s="4">
        <v>1.0</v>
      </c>
      <c r="X53" s="4">
        <v>1.4</v>
      </c>
    </row>
    <row r="54" ht="15.75" customHeight="1">
      <c r="A54" s="7" t="s">
        <v>216</v>
      </c>
      <c r="B54" s="4">
        <v>14.0</v>
      </c>
      <c r="C54" s="4">
        <v>29.3</v>
      </c>
      <c r="D54" s="4">
        <v>15.5</v>
      </c>
      <c r="E54" s="4">
        <v>24.6</v>
      </c>
      <c r="F54" s="4">
        <v>62.9</v>
      </c>
      <c r="G54" s="4">
        <v>192.4</v>
      </c>
      <c r="H54" s="4">
        <v>1.1</v>
      </c>
      <c r="I54" s="4">
        <v>41.0</v>
      </c>
      <c r="J54" s="4">
        <v>213.1</v>
      </c>
      <c r="K54" s="4">
        <v>5.2</v>
      </c>
      <c r="L54" s="4">
        <v>2.5</v>
      </c>
      <c r="M54" s="4">
        <v>65.6</v>
      </c>
      <c r="N54" s="4">
        <v>405.6</v>
      </c>
      <c r="O54" s="4">
        <v>6.2</v>
      </c>
      <c r="P54" s="4">
        <v>8.7</v>
      </c>
      <c r="Q54" s="4">
        <v>11.1</v>
      </c>
      <c r="R54" s="4">
        <v>2.1</v>
      </c>
      <c r="S54" s="4">
        <v>22.0</v>
      </c>
      <c r="T54" s="4">
        <v>5.6</v>
      </c>
      <c r="U54" s="4">
        <v>45.5</v>
      </c>
      <c r="V54" s="4">
        <v>0.7</v>
      </c>
      <c r="W54" s="4">
        <v>0.9</v>
      </c>
      <c r="X54" s="4">
        <v>1.6</v>
      </c>
    </row>
    <row r="55" ht="15.75" customHeight="1">
      <c r="A55" s="7" t="s">
        <v>201</v>
      </c>
      <c r="B55" s="4">
        <v>13.0</v>
      </c>
      <c r="C55" s="4">
        <v>29.2</v>
      </c>
      <c r="D55" s="4">
        <v>17.4</v>
      </c>
      <c r="E55" s="4">
        <v>28.5</v>
      </c>
      <c r="F55" s="4">
        <v>60.9</v>
      </c>
      <c r="G55" s="4">
        <v>210.3</v>
      </c>
      <c r="H55" s="4">
        <v>1.5</v>
      </c>
      <c r="I55" s="4">
        <v>40.7</v>
      </c>
      <c r="J55" s="4">
        <v>193.7</v>
      </c>
      <c r="K55" s="4">
        <v>4.8</v>
      </c>
      <c r="L55" s="4">
        <v>2.1</v>
      </c>
      <c r="M55" s="4">
        <v>69.2</v>
      </c>
      <c r="N55" s="4">
        <v>404.0</v>
      </c>
      <c r="O55" s="4">
        <v>5.8</v>
      </c>
      <c r="P55" s="4">
        <v>9.8</v>
      </c>
      <c r="Q55" s="4">
        <v>10.8</v>
      </c>
      <c r="R55" s="4">
        <v>1.9</v>
      </c>
      <c r="S55" s="4">
        <v>22.6</v>
      </c>
      <c r="T55" s="4">
        <v>4.4</v>
      </c>
      <c r="U55" s="4">
        <v>34.3</v>
      </c>
      <c r="V55" s="4">
        <v>0.4</v>
      </c>
      <c r="W55" s="4">
        <v>1.1</v>
      </c>
      <c r="X55" s="4">
        <v>1.5</v>
      </c>
    </row>
    <row r="56" ht="15.75" customHeight="1">
      <c r="A56" s="7" t="s">
        <v>47</v>
      </c>
      <c r="B56" s="4">
        <v>13.0</v>
      </c>
      <c r="C56" s="4">
        <v>28.9</v>
      </c>
      <c r="D56" s="4">
        <v>20.7</v>
      </c>
      <c r="E56" s="4">
        <v>31.7</v>
      </c>
      <c r="F56" s="4">
        <v>65.3</v>
      </c>
      <c r="G56" s="4">
        <v>237.5</v>
      </c>
      <c r="H56" s="4">
        <v>1.3</v>
      </c>
      <c r="I56" s="4">
        <v>37.8</v>
      </c>
      <c r="J56" s="4">
        <v>187.0</v>
      </c>
      <c r="K56" s="4">
        <v>5.0</v>
      </c>
      <c r="L56" s="4">
        <v>2.2</v>
      </c>
      <c r="M56" s="4">
        <v>69.5</v>
      </c>
      <c r="N56" s="4">
        <v>424.5</v>
      </c>
      <c r="O56" s="4">
        <v>6.1</v>
      </c>
      <c r="P56" s="4">
        <v>10.6</v>
      </c>
      <c r="Q56" s="4">
        <v>9.7</v>
      </c>
      <c r="R56" s="4">
        <v>1.3</v>
      </c>
      <c r="S56" s="4">
        <v>21.6</v>
      </c>
      <c r="T56" s="4">
        <v>5.4</v>
      </c>
      <c r="U56" s="4">
        <v>43.3</v>
      </c>
      <c r="V56" s="4">
        <v>0.2</v>
      </c>
      <c r="W56" s="4">
        <v>0.5</v>
      </c>
      <c r="X56" s="4">
        <v>0.8</v>
      </c>
    </row>
    <row r="57" ht="15.75" customHeight="1">
      <c r="A57" s="7" t="s">
        <v>77</v>
      </c>
      <c r="B57" s="4">
        <v>13.0</v>
      </c>
      <c r="C57" s="4">
        <v>28.9</v>
      </c>
      <c r="D57" s="4">
        <v>19.2</v>
      </c>
      <c r="E57" s="4">
        <v>31.1</v>
      </c>
      <c r="F57" s="4">
        <v>61.9</v>
      </c>
      <c r="G57" s="4">
        <v>225.1</v>
      </c>
      <c r="H57" s="4">
        <v>1.1</v>
      </c>
      <c r="I57" s="4">
        <v>39.8</v>
      </c>
      <c r="J57" s="4">
        <v>164.5</v>
      </c>
      <c r="K57" s="4">
        <v>4.1</v>
      </c>
      <c r="L57" s="4">
        <v>2.0</v>
      </c>
      <c r="M57" s="4">
        <v>70.9</v>
      </c>
      <c r="N57" s="4">
        <v>389.5</v>
      </c>
      <c r="O57" s="4">
        <v>5.5</v>
      </c>
      <c r="P57" s="4">
        <v>9.2</v>
      </c>
      <c r="Q57" s="4">
        <v>10.5</v>
      </c>
      <c r="R57" s="4">
        <v>1.5</v>
      </c>
      <c r="S57" s="4">
        <v>21.2</v>
      </c>
      <c r="T57" s="4">
        <v>5.6</v>
      </c>
      <c r="U57" s="4">
        <v>50.6</v>
      </c>
      <c r="V57" s="4">
        <v>0.3</v>
      </c>
      <c r="W57" s="4">
        <v>0.4</v>
      </c>
      <c r="X57" s="4">
        <v>0.7</v>
      </c>
    </row>
    <row r="58" ht="15.75" customHeight="1">
      <c r="A58" s="7" t="s">
        <v>83</v>
      </c>
      <c r="B58" s="4">
        <v>13.0</v>
      </c>
      <c r="C58" s="4">
        <v>28.9</v>
      </c>
      <c r="D58" s="4">
        <v>16.4</v>
      </c>
      <c r="E58" s="4">
        <v>30.4</v>
      </c>
      <c r="F58" s="4">
        <v>53.9</v>
      </c>
      <c r="G58" s="4">
        <v>207.4</v>
      </c>
      <c r="H58" s="4">
        <v>1.4</v>
      </c>
      <c r="I58" s="4">
        <v>39.8</v>
      </c>
      <c r="J58" s="4">
        <v>175.3</v>
      </c>
      <c r="K58" s="4">
        <v>4.4</v>
      </c>
      <c r="L58" s="4">
        <v>2.2</v>
      </c>
      <c r="M58" s="4">
        <v>70.2</v>
      </c>
      <c r="N58" s="4">
        <v>382.7</v>
      </c>
      <c r="O58" s="4">
        <v>5.5</v>
      </c>
      <c r="P58" s="4">
        <v>10.1</v>
      </c>
      <c r="Q58" s="4">
        <v>9.9</v>
      </c>
      <c r="R58" s="4">
        <v>2.5</v>
      </c>
      <c r="S58" s="4">
        <v>22.5</v>
      </c>
      <c r="T58" s="4">
        <v>4.0</v>
      </c>
      <c r="U58" s="4">
        <v>34.2</v>
      </c>
      <c r="V58" s="4">
        <v>0.2</v>
      </c>
      <c r="W58" s="4">
        <v>0.5</v>
      </c>
      <c r="X58" s="4">
        <v>0.7</v>
      </c>
    </row>
    <row r="59" ht="15.75" customHeight="1">
      <c r="A59" s="7" t="s">
        <v>108</v>
      </c>
      <c r="B59" s="4">
        <v>13.0</v>
      </c>
      <c r="C59" s="4">
        <v>28.9</v>
      </c>
      <c r="D59" s="4">
        <v>16.3</v>
      </c>
      <c r="E59" s="4">
        <v>24.8</v>
      </c>
      <c r="F59" s="4">
        <v>65.6</v>
      </c>
      <c r="G59" s="4">
        <v>187.0</v>
      </c>
      <c r="H59" s="4">
        <v>1.4</v>
      </c>
      <c r="I59" s="4">
        <v>37.2</v>
      </c>
      <c r="J59" s="4">
        <v>183.0</v>
      </c>
      <c r="K59" s="4">
        <v>4.9</v>
      </c>
      <c r="L59" s="4">
        <v>2.2</v>
      </c>
      <c r="M59" s="4">
        <v>62.1</v>
      </c>
      <c r="N59" s="4">
        <v>370.0</v>
      </c>
      <c r="O59" s="4">
        <v>6.0</v>
      </c>
      <c r="P59" s="4">
        <v>8.7</v>
      </c>
      <c r="Q59" s="4">
        <v>9.4</v>
      </c>
      <c r="R59" s="4">
        <v>1.4</v>
      </c>
      <c r="S59" s="4">
        <v>19.5</v>
      </c>
      <c r="T59" s="4">
        <v>4.2</v>
      </c>
      <c r="U59" s="4">
        <v>39.2</v>
      </c>
      <c r="V59" s="4">
        <v>0.3</v>
      </c>
      <c r="W59" s="4">
        <v>0.7</v>
      </c>
      <c r="X59" s="4">
        <v>1.0</v>
      </c>
    </row>
    <row r="60" ht="15.75" customHeight="1">
      <c r="A60" s="7" t="s">
        <v>61</v>
      </c>
      <c r="B60" s="4">
        <v>13.0</v>
      </c>
      <c r="C60" s="4">
        <v>28.8</v>
      </c>
      <c r="D60" s="4">
        <v>14.9</v>
      </c>
      <c r="E60" s="4">
        <v>26.7</v>
      </c>
      <c r="F60" s="4">
        <v>55.9</v>
      </c>
      <c r="G60" s="4">
        <v>186.3</v>
      </c>
      <c r="H60" s="4">
        <v>1.5</v>
      </c>
      <c r="I60" s="4">
        <v>41.0</v>
      </c>
      <c r="J60" s="4">
        <v>169.1</v>
      </c>
      <c r="K60" s="4">
        <v>4.1</v>
      </c>
      <c r="L60" s="4">
        <v>1.8</v>
      </c>
      <c r="M60" s="4">
        <v>67.7</v>
      </c>
      <c r="N60" s="4">
        <v>355.4</v>
      </c>
      <c r="O60" s="4">
        <v>5.3</v>
      </c>
      <c r="P60" s="4">
        <v>7.9</v>
      </c>
      <c r="Q60" s="4">
        <v>9.2</v>
      </c>
      <c r="R60" s="4">
        <v>1.4</v>
      </c>
      <c r="S60" s="4">
        <v>18.5</v>
      </c>
      <c r="T60" s="4">
        <v>4.5</v>
      </c>
      <c r="U60" s="4">
        <v>43.4</v>
      </c>
      <c r="V60" s="4">
        <v>0.5</v>
      </c>
      <c r="W60" s="4">
        <v>0.5</v>
      </c>
      <c r="X60" s="4">
        <v>1.0</v>
      </c>
    </row>
    <row r="61" ht="15.75" customHeight="1">
      <c r="A61" s="7" t="s">
        <v>151</v>
      </c>
      <c r="B61" s="4">
        <v>12.0</v>
      </c>
      <c r="C61" s="4">
        <v>28.8</v>
      </c>
      <c r="D61" s="4">
        <v>13.1</v>
      </c>
      <c r="E61" s="4">
        <v>24.1</v>
      </c>
      <c r="F61" s="4">
        <v>54.3</v>
      </c>
      <c r="G61" s="4">
        <v>167.8</v>
      </c>
      <c r="H61" s="4">
        <v>1.3</v>
      </c>
      <c r="I61" s="4">
        <v>45.2</v>
      </c>
      <c r="J61" s="4">
        <v>250.7</v>
      </c>
      <c r="K61" s="4">
        <v>5.5</v>
      </c>
      <c r="L61" s="4">
        <v>2.3</v>
      </c>
      <c r="M61" s="4">
        <v>69.3</v>
      </c>
      <c r="N61" s="4">
        <v>418.5</v>
      </c>
      <c r="O61" s="4">
        <v>6.0</v>
      </c>
      <c r="P61" s="4">
        <v>7.5</v>
      </c>
      <c r="Q61" s="4">
        <v>13.8</v>
      </c>
      <c r="R61" s="4">
        <v>1.8</v>
      </c>
      <c r="S61" s="4">
        <v>23.1</v>
      </c>
      <c r="T61" s="4">
        <v>6.8</v>
      </c>
      <c r="U61" s="4">
        <v>66.1</v>
      </c>
      <c r="V61" s="4">
        <v>0.9</v>
      </c>
      <c r="W61" s="4">
        <v>0.6</v>
      </c>
      <c r="X61" s="4">
        <v>1.5</v>
      </c>
    </row>
    <row r="62" ht="15.75" customHeight="1">
      <c r="A62" s="7" t="s">
        <v>67</v>
      </c>
      <c r="B62" s="4">
        <v>13.0</v>
      </c>
      <c r="C62" s="4">
        <v>28.7</v>
      </c>
      <c r="D62" s="4">
        <v>15.0</v>
      </c>
      <c r="E62" s="4">
        <v>27.6</v>
      </c>
      <c r="F62" s="4">
        <v>54.3</v>
      </c>
      <c r="G62" s="4">
        <v>202.0</v>
      </c>
      <c r="H62" s="4">
        <v>1.5</v>
      </c>
      <c r="I62" s="4">
        <v>37.2</v>
      </c>
      <c r="J62" s="4">
        <v>172.5</v>
      </c>
      <c r="K62" s="4">
        <v>4.6</v>
      </c>
      <c r="L62" s="4">
        <v>1.6</v>
      </c>
      <c r="M62" s="4">
        <v>64.8</v>
      </c>
      <c r="N62" s="4">
        <v>374.5</v>
      </c>
      <c r="O62" s="4">
        <v>5.8</v>
      </c>
      <c r="P62" s="4">
        <v>7.9</v>
      </c>
      <c r="Q62" s="4">
        <v>8.4</v>
      </c>
      <c r="R62" s="4">
        <v>1.8</v>
      </c>
      <c r="S62" s="4">
        <v>18.1</v>
      </c>
      <c r="T62" s="4">
        <v>6.9</v>
      </c>
      <c r="U62" s="4">
        <v>63.8</v>
      </c>
      <c r="V62" s="4">
        <v>0.5</v>
      </c>
      <c r="W62" s="4">
        <v>0.8</v>
      </c>
      <c r="X62" s="4">
        <v>1.3</v>
      </c>
    </row>
    <row r="63" ht="15.75" customHeight="1">
      <c r="A63" s="7" t="s">
        <v>81</v>
      </c>
      <c r="B63" s="4">
        <v>13.0</v>
      </c>
      <c r="C63" s="4">
        <v>28.5</v>
      </c>
      <c r="D63" s="4">
        <v>19.6</v>
      </c>
      <c r="E63" s="4">
        <v>30.1</v>
      </c>
      <c r="F63" s="4">
        <v>65.2</v>
      </c>
      <c r="G63" s="4">
        <v>232.6</v>
      </c>
      <c r="H63" s="4">
        <v>1.6</v>
      </c>
      <c r="I63" s="4">
        <v>32.4</v>
      </c>
      <c r="J63" s="4">
        <v>145.2</v>
      </c>
      <c r="K63" s="4">
        <v>4.5</v>
      </c>
      <c r="L63" s="4">
        <v>1.6</v>
      </c>
      <c r="M63" s="4">
        <v>62.5</v>
      </c>
      <c r="N63" s="4">
        <v>377.8</v>
      </c>
      <c r="O63" s="4">
        <v>6.0</v>
      </c>
      <c r="P63" s="4">
        <v>10.5</v>
      </c>
      <c r="Q63" s="4">
        <v>7.3</v>
      </c>
      <c r="R63" s="4">
        <v>2.3</v>
      </c>
      <c r="S63" s="4">
        <v>20.2</v>
      </c>
      <c r="T63" s="4">
        <v>5.1</v>
      </c>
      <c r="U63" s="4">
        <v>47.8</v>
      </c>
      <c r="V63" s="4">
        <v>0.8</v>
      </c>
      <c r="W63" s="4">
        <v>1.0</v>
      </c>
      <c r="X63" s="4">
        <v>1.8</v>
      </c>
    </row>
    <row r="64" ht="15.75" customHeight="1">
      <c r="A64" s="7" t="s">
        <v>85</v>
      </c>
      <c r="B64" s="4">
        <v>13.0</v>
      </c>
      <c r="C64" s="4">
        <v>28.4</v>
      </c>
      <c r="D64" s="4">
        <v>24.3</v>
      </c>
      <c r="E64" s="4">
        <v>42.5</v>
      </c>
      <c r="F64" s="4">
        <v>57.2</v>
      </c>
      <c r="G64" s="4">
        <v>321.8</v>
      </c>
      <c r="H64" s="4">
        <v>2.4</v>
      </c>
      <c r="I64" s="4">
        <v>24.9</v>
      </c>
      <c r="J64" s="4">
        <v>88.1</v>
      </c>
      <c r="K64" s="4">
        <v>3.5</v>
      </c>
      <c r="L64" s="4">
        <v>1.0</v>
      </c>
      <c r="M64" s="4">
        <v>67.4</v>
      </c>
      <c r="N64" s="4">
        <v>409.8</v>
      </c>
      <c r="O64" s="4">
        <v>6.1</v>
      </c>
      <c r="P64" s="4">
        <v>13.8</v>
      </c>
      <c r="Q64" s="4">
        <v>5.5</v>
      </c>
      <c r="R64" s="4">
        <v>2.5</v>
      </c>
      <c r="S64" s="4">
        <v>21.8</v>
      </c>
      <c r="T64" s="4">
        <v>7.0</v>
      </c>
      <c r="U64" s="4">
        <v>60.3</v>
      </c>
      <c r="V64" s="4">
        <v>1.0</v>
      </c>
      <c r="W64" s="4">
        <v>1.2</v>
      </c>
      <c r="X64" s="4">
        <v>2.2</v>
      </c>
    </row>
    <row r="65" ht="15.75" customHeight="1">
      <c r="A65" s="7" t="s">
        <v>166</v>
      </c>
      <c r="B65" s="4">
        <v>13.0</v>
      </c>
      <c r="C65" s="4">
        <v>28.3</v>
      </c>
      <c r="D65" s="4">
        <v>16.0</v>
      </c>
      <c r="E65" s="4">
        <v>26.3</v>
      </c>
      <c r="F65" s="4">
        <v>60.8</v>
      </c>
      <c r="G65" s="4">
        <v>225.7</v>
      </c>
      <c r="H65" s="4">
        <v>1.4</v>
      </c>
      <c r="I65" s="4">
        <v>35.5</v>
      </c>
      <c r="J65" s="4">
        <v>161.2</v>
      </c>
      <c r="K65" s="4">
        <v>4.5</v>
      </c>
      <c r="L65" s="4">
        <v>2.0</v>
      </c>
      <c r="M65" s="4">
        <v>61.8</v>
      </c>
      <c r="N65" s="4">
        <v>386.9</v>
      </c>
      <c r="O65" s="4">
        <v>6.3</v>
      </c>
      <c r="P65" s="4">
        <v>9.2</v>
      </c>
      <c r="Q65" s="4">
        <v>8.7</v>
      </c>
      <c r="R65" s="4">
        <v>1.4</v>
      </c>
      <c r="S65" s="4">
        <v>19.2</v>
      </c>
      <c r="T65" s="4">
        <v>5.9</v>
      </c>
      <c r="U65" s="4">
        <v>54.0</v>
      </c>
      <c r="V65" s="4">
        <v>0.4</v>
      </c>
      <c r="W65" s="4">
        <v>1.1</v>
      </c>
      <c r="X65" s="4">
        <v>1.5</v>
      </c>
    </row>
    <row r="66" ht="15.75" customHeight="1">
      <c r="A66" s="7" t="s">
        <v>71</v>
      </c>
      <c r="B66" s="4">
        <v>13.0</v>
      </c>
      <c r="C66" s="4">
        <v>28.3</v>
      </c>
      <c r="D66" s="4">
        <v>16.4</v>
      </c>
      <c r="E66" s="4">
        <v>27.2</v>
      </c>
      <c r="F66" s="4">
        <v>60.3</v>
      </c>
      <c r="G66" s="4">
        <v>211.2</v>
      </c>
      <c r="H66" s="4">
        <v>1.7</v>
      </c>
      <c r="I66" s="4">
        <v>34.8</v>
      </c>
      <c r="J66" s="4">
        <v>153.6</v>
      </c>
      <c r="K66" s="4">
        <v>4.4</v>
      </c>
      <c r="L66" s="4">
        <v>1.7</v>
      </c>
      <c r="M66" s="4">
        <v>61.9</v>
      </c>
      <c r="N66" s="4">
        <v>364.8</v>
      </c>
      <c r="O66" s="4">
        <v>5.9</v>
      </c>
      <c r="P66" s="4">
        <v>9.8</v>
      </c>
      <c r="Q66" s="4">
        <v>8.5</v>
      </c>
      <c r="R66" s="4">
        <v>2.2</v>
      </c>
      <c r="S66" s="4">
        <v>20.4</v>
      </c>
      <c r="T66" s="4">
        <v>5.2</v>
      </c>
      <c r="U66" s="4">
        <v>40.2</v>
      </c>
      <c r="V66" s="4">
        <v>0.6</v>
      </c>
      <c r="W66" s="4">
        <v>0.5</v>
      </c>
      <c r="X66" s="4">
        <v>1.1</v>
      </c>
    </row>
    <row r="67" ht="15.75" customHeight="1">
      <c r="A67" s="7" t="s">
        <v>87</v>
      </c>
      <c r="B67" s="4">
        <v>13.0</v>
      </c>
      <c r="C67" s="4">
        <v>28.3</v>
      </c>
      <c r="D67" s="4">
        <v>21.2</v>
      </c>
      <c r="E67" s="4">
        <v>34.8</v>
      </c>
      <c r="F67" s="4">
        <v>60.9</v>
      </c>
      <c r="G67" s="4">
        <v>254.2</v>
      </c>
      <c r="H67" s="4">
        <v>2.2</v>
      </c>
      <c r="I67" s="4">
        <v>33.5</v>
      </c>
      <c r="J67" s="4">
        <v>115.7</v>
      </c>
      <c r="K67" s="4">
        <v>3.4</v>
      </c>
      <c r="L67" s="4">
        <v>1.0</v>
      </c>
      <c r="M67" s="4">
        <v>68.4</v>
      </c>
      <c r="N67" s="4">
        <v>369.9</v>
      </c>
      <c r="O67" s="4">
        <v>5.4</v>
      </c>
      <c r="P67" s="4">
        <v>11.1</v>
      </c>
      <c r="Q67" s="4">
        <v>6.2</v>
      </c>
      <c r="R67" s="4">
        <v>2.5</v>
      </c>
      <c r="S67" s="4">
        <v>19.8</v>
      </c>
      <c r="T67" s="4">
        <v>6.4</v>
      </c>
      <c r="U67" s="4">
        <v>56.8</v>
      </c>
      <c r="V67" s="4">
        <v>0.8</v>
      </c>
      <c r="W67" s="4">
        <v>0.6</v>
      </c>
      <c r="X67" s="4">
        <v>1.5</v>
      </c>
    </row>
    <row r="68" ht="15.75" customHeight="1">
      <c r="A68" s="7" t="s">
        <v>240</v>
      </c>
      <c r="B68" s="4">
        <v>13.0</v>
      </c>
      <c r="C68" s="4">
        <v>28.2</v>
      </c>
      <c r="D68" s="4">
        <v>15.9</v>
      </c>
      <c r="E68" s="4">
        <v>25.4</v>
      </c>
      <c r="F68" s="4">
        <v>62.7</v>
      </c>
      <c r="G68" s="4">
        <v>199.3</v>
      </c>
      <c r="H68" s="4">
        <v>1.8</v>
      </c>
      <c r="I68" s="4">
        <v>40.7</v>
      </c>
      <c r="J68" s="4">
        <v>166.1</v>
      </c>
      <c r="K68" s="4">
        <v>4.1</v>
      </c>
      <c r="L68" s="4">
        <v>1.8</v>
      </c>
      <c r="M68" s="4">
        <v>66.1</v>
      </c>
      <c r="N68" s="4">
        <v>365.4</v>
      </c>
      <c r="O68" s="4">
        <v>5.5</v>
      </c>
      <c r="P68" s="4">
        <v>8.6</v>
      </c>
      <c r="Q68" s="4">
        <v>8.8</v>
      </c>
      <c r="R68" s="4">
        <v>1.8</v>
      </c>
      <c r="S68" s="4">
        <v>19.3</v>
      </c>
      <c r="T68" s="4">
        <v>4.5</v>
      </c>
      <c r="U68" s="4">
        <v>43.1</v>
      </c>
      <c r="V68" s="4">
        <v>0.7</v>
      </c>
      <c r="W68" s="4">
        <v>0.5</v>
      </c>
      <c r="X68" s="4">
        <v>1.2</v>
      </c>
    </row>
    <row r="69" ht="15.75" customHeight="1">
      <c r="A69" s="7" t="s">
        <v>231</v>
      </c>
      <c r="B69" s="4">
        <v>13.0</v>
      </c>
      <c r="C69" s="4">
        <v>28.2</v>
      </c>
      <c r="D69" s="4">
        <v>15.4</v>
      </c>
      <c r="E69" s="4">
        <v>26.1</v>
      </c>
      <c r="F69" s="4">
        <v>59.0</v>
      </c>
      <c r="G69" s="4">
        <v>189.4</v>
      </c>
      <c r="H69" s="4">
        <v>1.2</v>
      </c>
      <c r="I69" s="4">
        <v>37.8</v>
      </c>
      <c r="J69" s="4">
        <v>178.4</v>
      </c>
      <c r="K69" s="4">
        <v>4.7</v>
      </c>
      <c r="L69" s="4">
        <v>2.2</v>
      </c>
      <c r="M69" s="4">
        <v>63.9</v>
      </c>
      <c r="N69" s="4">
        <v>367.8</v>
      </c>
      <c r="O69" s="4">
        <v>5.8</v>
      </c>
      <c r="P69" s="4">
        <v>7.8</v>
      </c>
      <c r="Q69" s="4">
        <v>8.8</v>
      </c>
      <c r="R69" s="4">
        <v>1.9</v>
      </c>
      <c r="S69" s="4">
        <v>18.5</v>
      </c>
      <c r="T69" s="4">
        <v>5.7</v>
      </c>
      <c r="U69" s="4">
        <v>48.8</v>
      </c>
      <c r="V69" s="4">
        <v>0.6</v>
      </c>
      <c r="W69" s="4">
        <v>0.7</v>
      </c>
      <c r="X69" s="4">
        <v>1.3</v>
      </c>
    </row>
    <row r="70" ht="15.75" customHeight="1">
      <c r="A70" s="7" t="s">
        <v>125</v>
      </c>
      <c r="B70" s="4">
        <v>13.0</v>
      </c>
      <c r="C70" s="4">
        <v>28.0</v>
      </c>
      <c r="D70" s="4">
        <v>22.2</v>
      </c>
      <c r="E70" s="4">
        <v>34.3</v>
      </c>
      <c r="F70" s="4">
        <v>64.8</v>
      </c>
      <c r="G70" s="4">
        <v>237.8</v>
      </c>
      <c r="H70" s="4">
        <v>1.6</v>
      </c>
      <c r="I70" s="4">
        <v>34.4</v>
      </c>
      <c r="J70" s="4">
        <v>128.4</v>
      </c>
      <c r="K70" s="4">
        <v>3.7</v>
      </c>
      <c r="L70" s="4">
        <v>1.8</v>
      </c>
      <c r="M70" s="4">
        <v>68.7</v>
      </c>
      <c r="N70" s="4">
        <v>366.2</v>
      </c>
      <c r="O70" s="4">
        <v>5.3</v>
      </c>
      <c r="P70" s="4">
        <v>10.7</v>
      </c>
      <c r="Q70" s="4">
        <v>8.4</v>
      </c>
      <c r="R70" s="4">
        <v>2.7</v>
      </c>
      <c r="S70" s="4">
        <v>21.8</v>
      </c>
      <c r="T70" s="4">
        <v>5.6</v>
      </c>
      <c r="U70" s="4">
        <v>48.3</v>
      </c>
      <c r="V70" s="4">
        <v>0.8</v>
      </c>
      <c r="W70" s="4">
        <v>0.8</v>
      </c>
      <c r="X70" s="4">
        <v>1.7</v>
      </c>
    </row>
    <row r="71" ht="15.75" customHeight="1">
      <c r="A71" s="7" t="s">
        <v>211</v>
      </c>
      <c r="B71" s="4">
        <v>12.0</v>
      </c>
      <c r="C71" s="4">
        <v>28.0</v>
      </c>
      <c r="D71" s="4">
        <v>16.3</v>
      </c>
      <c r="E71" s="4">
        <v>27.8</v>
      </c>
      <c r="F71" s="4">
        <v>58.6</v>
      </c>
      <c r="G71" s="4">
        <v>192.9</v>
      </c>
      <c r="H71" s="4">
        <v>1.4</v>
      </c>
      <c r="I71" s="4">
        <v>40.1</v>
      </c>
      <c r="J71" s="4">
        <v>209.8</v>
      </c>
      <c r="K71" s="4">
        <v>5.2</v>
      </c>
      <c r="L71" s="4">
        <v>2.3</v>
      </c>
      <c r="M71" s="4">
        <v>67.8</v>
      </c>
      <c r="N71" s="4">
        <v>402.7</v>
      </c>
      <c r="O71" s="4">
        <v>5.9</v>
      </c>
      <c r="P71" s="4">
        <v>8.8</v>
      </c>
      <c r="Q71" s="4">
        <v>9.7</v>
      </c>
      <c r="R71" s="4">
        <v>1.2</v>
      </c>
      <c r="S71" s="4">
        <v>19.7</v>
      </c>
      <c r="T71" s="4">
        <v>6.2</v>
      </c>
      <c r="U71" s="4">
        <v>54.2</v>
      </c>
      <c r="V71" s="4">
        <v>0.9</v>
      </c>
      <c r="W71" s="4">
        <v>0.8</v>
      </c>
      <c r="X71" s="4">
        <v>1.7</v>
      </c>
    </row>
    <row r="72" ht="15.75" customHeight="1">
      <c r="A72" s="7" t="s">
        <v>120</v>
      </c>
      <c r="B72" s="4">
        <v>12.0</v>
      </c>
      <c r="C72" s="4">
        <v>27.8</v>
      </c>
      <c r="D72" s="4">
        <v>19.2</v>
      </c>
      <c r="E72" s="4">
        <v>30.8</v>
      </c>
      <c r="F72" s="4">
        <v>62.3</v>
      </c>
      <c r="G72" s="4">
        <v>263.9</v>
      </c>
      <c r="H72" s="4">
        <v>2.3</v>
      </c>
      <c r="I72" s="4">
        <v>33.7</v>
      </c>
      <c r="J72" s="4">
        <v>165.5</v>
      </c>
      <c r="K72" s="4">
        <v>4.9</v>
      </c>
      <c r="L72" s="4">
        <v>1.1</v>
      </c>
      <c r="M72" s="4">
        <v>64.4</v>
      </c>
      <c r="N72" s="4">
        <v>429.4</v>
      </c>
      <c r="O72" s="4">
        <v>6.7</v>
      </c>
      <c r="P72" s="4">
        <v>10.6</v>
      </c>
      <c r="Q72" s="4">
        <v>9.0</v>
      </c>
      <c r="R72" s="4">
        <v>1.4</v>
      </c>
      <c r="S72" s="4">
        <v>21.0</v>
      </c>
      <c r="T72" s="4">
        <v>5.8</v>
      </c>
      <c r="U72" s="4">
        <v>49.3</v>
      </c>
      <c r="V72" s="4">
        <v>0.8</v>
      </c>
      <c r="W72" s="4">
        <v>1.1</v>
      </c>
      <c r="X72" s="4">
        <v>1.8</v>
      </c>
    </row>
    <row r="73" ht="15.75" customHeight="1">
      <c r="A73" s="7" t="s">
        <v>141</v>
      </c>
      <c r="B73" s="4">
        <v>13.0</v>
      </c>
      <c r="C73" s="4">
        <v>27.7</v>
      </c>
      <c r="D73" s="4">
        <v>12.5</v>
      </c>
      <c r="E73" s="4">
        <v>20.0</v>
      </c>
      <c r="F73" s="4">
        <v>62.7</v>
      </c>
      <c r="G73" s="4">
        <v>131.6</v>
      </c>
      <c r="H73" s="4">
        <v>0.8</v>
      </c>
      <c r="I73" s="4">
        <v>38.5</v>
      </c>
      <c r="J73" s="4">
        <v>197.2</v>
      </c>
      <c r="K73" s="4">
        <v>5.1</v>
      </c>
      <c r="L73" s="4">
        <v>2.3</v>
      </c>
      <c r="M73" s="4">
        <v>58.5</v>
      </c>
      <c r="N73" s="4">
        <v>328.8</v>
      </c>
      <c r="O73" s="4">
        <v>5.6</v>
      </c>
      <c r="P73" s="4">
        <v>6.3</v>
      </c>
      <c r="Q73" s="4">
        <v>9.0</v>
      </c>
      <c r="R73" s="4">
        <v>1.4</v>
      </c>
      <c r="S73" s="4">
        <v>16.7</v>
      </c>
      <c r="T73" s="4">
        <v>3.2</v>
      </c>
      <c r="U73" s="4">
        <v>29.8</v>
      </c>
      <c r="V73" s="4">
        <v>0.3</v>
      </c>
      <c r="W73" s="4">
        <v>0.6</v>
      </c>
      <c r="X73" s="4">
        <v>0.9</v>
      </c>
    </row>
    <row r="74" ht="15.75" customHeight="1">
      <c r="A74" s="7" t="s">
        <v>230</v>
      </c>
      <c r="B74" s="4">
        <v>13.0</v>
      </c>
      <c r="C74" s="4">
        <v>27.3</v>
      </c>
      <c r="D74" s="4">
        <v>13.8</v>
      </c>
      <c r="E74" s="4">
        <v>23.4</v>
      </c>
      <c r="F74" s="4">
        <v>58.9</v>
      </c>
      <c r="G74" s="4">
        <v>178.6</v>
      </c>
      <c r="H74" s="4">
        <v>1.6</v>
      </c>
      <c r="I74" s="4">
        <v>36.5</v>
      </c>
      <c r="J74" s="4">
        <v>139.8</v>
      </c>
      <c r="K74" s="4">
        <v>3.8</v>
      </c>
      <c r="L74" s="4">
        <v>1.4</v>
      </c>
      <c r="M74" s="4">
        <v>59.9</v>
      </c>
      <c r="N74" s="4">
        <v>318.4</v>
      </c>
      <c r="O74" s="4">
        <v>5.3</v>
      </c>
      <c r="P74" s="4">
        <v>8.2</v>
      </c>
      <c r="Q74" s="4">
        <v>8.1</v>
      </c>
      <c r="R74" s="4">
        <v>1.9</v>
      </c>
      <c r="S74" s="4">
        <v>18.2</v>
      </c>
      <c r="T74" s="4">
        <v>5.6</v>
      </c>
      <c r="U74" s="4">
        <v>54.4</v>
      </c>
      <c r="V74" s="4">
        <v>0.2</v>
      </c>
      <c r="W74" s="4">
        <v>0.3</v>
      </c>
      <c r="X74" s="4">
        <v>0.5</v>
      </c>
    </row>
    <row r="75" ht="15.75" customHeight="1">
      <c r="A75" s="7" t="s">
        <v>194</v>
      </c>
      <c r="B75" s="4">
        <v>12.0</v>
      </c>
      <c r="C75" s="4">
        <v>27.2</v>
      </c>
      <c r="D75" s="4">
        <v>22.3</v>
      </c>
      <c r="E75" s="4">
        <v>37.4</v>
      </c>
      <c r="F75" s="4">
        <v>59.5</v>
      </c>
      <c r="G75" s="4">
        <v>262.3</v>
      </c>
      <c r="H75" s="4">
        <v>1.8</v>
      </c>
      <c r="I75" s="4">
        <v>29.8</v>
      </c>
      <c r="J75" s="4">
        <v>111.8</v>
      </c>
      <c r="K75" s="4">
        <v>3.7</v>
      </c>
      <c r="L75" s="4">
        <v>1.6</v>
      </c>
      <c r="M75" s="4">
        <v>67.3</v>
      </c>
      <c r="N75" s="4">
        <v>374.0</v>
      </c>
      <c r="O75" s="4">
        <v>5.6</v>
      </c>
      <c r="P75" s="4">
        <v>12.1</v>
      </c>
      <c r="Q75" s="4">
        <v>6.8</v>
      </c>
      <c r="R75" s="4">
        <v>1.6</v>
      </c>
      <c r="S75" s="4">
        <v>20.4</v>
      </c>
      <c r="T75" s="4">
        <v>5.0</v>
      </c>
      <c r="U75" s="4">
        <v>43.4</v>
      </c>
      <c r="V75" s="4">
        <v>0.5</v>
      </c>
      <c r="W75" s="4">
        <v>1.4</v>
      </c>
      <c r="X75" s="4">
        <v>1.9</v>
      </c>
    </row>
    <row r="76" ht="15.75" customHeight="1">
      <c r="A76" s="7" t="s">
        <v>327</v>
      </c>
      <c r="B76" s="4">
        <v>13.0</v>
      </c>
      <c r="C76" s="4">
        <v>27.1</v>
      </c>
      <c r="D76" s="4">
        <v>21.2</v>
      </c>
      <c r="E76" s="4">
        <v>32.2</v>
      </c>
      <c r="F76" s="4">
        <v>65.9</v>
      </c>
      <c r="G76" s="4">
        <v>240.6</v>
      </c>
      <c r="H76" s="4">
        <v>1.5</v>
      </c>
      <c r="I76" s="4">
        <v>32.7</v>
      </c>
      <c r="J76" s="4">
        <v>136.8</v>
      </c>
      <c r="K76" s="4">
        <v>4.2</v>
      </c>
      <c r="L76" s="4">
        <v>1.5</v>
      </c>
      <c r="M76" s="4">
        <v>64.9</v>
      </c>
      <c r="N76" s="4">
        <v>377.4</v>
      </c>
      <c r="O76" s="4">
        <v>5.8</v>
      </c>
      <c r="P76" s="4">
        <v>10.9</v>
      </c>
      <c r="Q76" s="4">
        <v>7.6</v>
      </c>
      <c r="R76" s="4">
        <v>1.3</v>
      </c>
      <c r="S76" s="4">
        <v>19.8</v>
      </c>
      <c r="T76" s="4">
        <v>5.3</v>
      </c>
      <c r="U76" s="4">
        <v>45.8</v>
      </c>
      <c r="V76" s="4">
        <v>0.4</v>
      </c>
      <c r="W76" s="4">
        <v>0.5</v>
      </c>
      <c r="X76" s="4">
        <v>0.8</v>
      </c>
    </row>
    <row r="77" ht="15.75" customHeight="1">
      <c r="A77" s="7" t="s">
        <v>113</v>
      </c>
      <c r="B77" s="4">
        <v>11.0</v>
      </c>
      <c r="C77" s="4">
        <v>26.6</v>
      </c>
      <c r="D77" s="4">
        <v>19.8</v>
      </c>
      <c r="E77" s="4">
        <v>35.6</v>
      </c>
      <c r="F77" s="4">
        <v>55.6</v>
      </c>
      <c r="G77" s="4">
        <v>273.0</v>
      </c>
      <c r="H77" s="4">
        <v>2.1</v>
      </c>
      <c r="I77" s="4">
        <v>35.2</v>
      </c>
      <c r="J77" s="4">
        <v>153.8</v>
      </c>
      <c r="K77" s="4">
        <v>4.4</v>
      </c>
      <c r="L77" s="4">
        <v>1.2</v>
      </c>
      <c r="M77" s="4">
        <v>70.8</v>
      </c>
      <c r="N77" s="4">
        <v>426.8</v>
      </c>
      <c r="O77" s="4">
        <v>6.0</v>
      </c>
      <c r="P77" s="4">
        <v>12.2</v>
      </c>
      <c r="Q77" s="4">
        <v>9.5</v>
      </c>
      <c r="R77" s="4">
        <v>2.2</v>
      </c>
      <c r="S77" s="4">
        <v>23.8</v>
      </c>
      <c r="T77" s="4">
        <v>6.0</v>
      </c>
      <c r="U77" s="4">
        <v>56.9</v>
      </c>
      <c r="V77" s="4">
        <v>0.5</v>
      </c>
      <c r="W77" s="4">
        <v>1.5</v>
      </c>
      <c r="X77" s="4">
        <v>2.0</v>
      </c>
    </row>
    <row r="78" ht="15.75" customHeight="1">
      <c r="A78" s="7" t="s">
        <v>99</v>
      </c>
      <c r="B78" s="4">
        <v>13.0</v>
      </c>
      <c r="C78" s="4">
        <v>26.3</v>
      </c>
      <c r="D78" s="4">
        <v>21.5</v>
      </c>
      <c r="E78" s="4">
        <v>35.9</v>
      </c>
      <c r="F78" s="4">
        <v>60.0</v>
      </c>
      <c r="G78" s="4">
        <v>244.3</v>
      </c>
      <c r="H78" s="4">
        <v>2.2</v>
      </c>
      <c r="I78" s="4">
        <v>29.3</v>
      </c>
      <c r="J78" s="4">
        <v>92.5</v>
      </c>
      <c r="K78" s="4">
        <v>3.2</v>
      </c>
      <c r="L78" s="4">
        <v>1.0</v>
      </c>
      <c r="M78" s="4">
        <v>65.2</v>
      </c>
      <c r="N78" s="4">
        <v>336.8</v>
      </c>
      <c r="O78" s="4">
        <v>5.2</v>
      </c>
      <c r="P78" s="4">
        <v>10.8</v>
      </c>
      <c r="Q78" s="4">
        <v>4.6</v>
      </c>
      <c r="R78" s="4">
        <v>2.2</v>
      </c>
      <c r="S78" s="4">
        <v>17.6</v>
      </c>
      <c r="T78" s="4">
        <v>5.2</v>
      </c>
      <c r="U78" s="4">
        <v>50.1</v>
      </c>
      <c r="V78" s="4">
        <v>0.5</v>
      </c>
      <c r="W78" s="4">
        <v>1.0</v>
      </c>
      <c r="X78" s="4">
        <v>1.5</v>
      </c>
    </row>
    <row r="79" ht="15.75" customHeight="1">
      <c r="A79" s="7" t="s">
        <v>140</v>
      </c>
      <c r="B79" s="4">
        <v>12.0</v>
      </c>
      <c r="C79" s="4">
        <v>26.3</v>
      </c>
      <c r="D79" s="4">
        <v>17.2</v>
      </c>
      <c r="E79" s="4">
        <v>27.8</v>
      </c>
      <c r="F79" s="4">
        <v>61.7</v>
      </c>
      <c r="G79" s="4">
        <v>229.4</v>
      </c>
      <c r="H79" s="4">
        <v>2.0</v>
      </c>
      <c r="I79" s="4">
        <v>33.4</v>
      </c>
      <c r="J79" s="4">
        <v>120.6</v>
      </c>
      <c r="K79" s="4">
        <v>3.6</v>
      </c>
      <c r="L79" s="4">
        <v>1.3</v>
      </c>
      <c r="M79" s="4">
        <v>61.3</v>
      </c>
      <c r="N79" s="4">
        <v>350.0</v>
      </c>
      <c r="O79" s="4">
        <v>5.7</v>
      </c>
      <c r="P79" s="4">
        <v>9.9</v>
      </c>
      <c r="Q79" s="4">
        <v>6.4</v>
      </c>
      <c r="R79" s="4">
        <v>1.6</v>
      </c>
      <c r="S79" s="4">
        <v>17.9</v>
      </c>
      <c r="T79" s="4">
        <v>5.5</v>
      </c>
      <c r="U79" s="4">
        <v>47.4</v>
      </c>
      <c r="V79" s="4">
        <v>0.7</v>
      </c>
      <c r="W79" s="4">
        <v>0.9</v>
      </c>
      <c r="X79" s="4">
        <v>1.6</v>
      </c>
    </row>
    <row r="80" ht="15.75" customHeight="1">
      <c r="A80" s="7" t="s">
        <v>80</v>
      </c>
      <c r="B80" s="4">
        <v>13.0</v>
      </c>
      <c r="C80" s="4">
        <v>26.2</v>
      </c>
      <c r="D80" s="4">
        <v>21.0</v>
      </c>
      <c r="E80" s="4">
        <v>31.7</v>
      </c>
      <c r="F80" s="4">
        <v>66.3</v>
      </c>
      <c r="G80" s="4">
        <v>222.2</v>
      </c>
      <c r="H80" s="4">
        <v>1.5</v>
      </c>
      <c r="I80" s="4">
        <v>31.1</v>
      </c>
      <c r="J80" s="4">
        <v>115.6</v>
      </c>
      <c r="K80" s="4">
        <v>3.7</v>
      </c>
      <c r="L80" s="4">
        <v>1.4</v>
      </c>
      <c r="M80" s="4">
        <v>62.8</v>
      </c>
      <c r="N80" s="4">
        <v>337.8</v>
      </c>
      <c r="O80" s="4">
        <v>5.4</v>
      </c>
      <c r="P80" s="4">
        <v>11.0</v>
      </c>
      <c r="Q80" s="4">
        <v>7.2</v>
      </c>
      <c r="R80" s="4">
        <v>2.2</v>
      </c>
      <c r="S80" s="4">
        <v>20.4</v>
      </c>
      <c r="T80" s="4">
        <v>4.8</v>
      </c>
      <c r="U80" s="4">
        <v>37.5</v>
      </c>
      <c r="V80" s="4">
        <v>0.5</v>
      </c>
      <c r="W80" s="4">
        <v>0.5</v>
      </c>
      <c r="X80" s="4">
        <v>0.9</v>
      </c>
    </row>
    <row r="81" ht="15.75" customHeight="1">
      <c r="A81" s="7" t="s">
        <v>328</v>
      </c>
      <c r="B81" s="4">
        <v>12.0</v>
      </c>
      <c r="C81" s="4">
        <v>26.2</v>
      </c>
      <c r="D81" s="4">
        <v>23.7</v>
      </c>
      <c r="E81" s="4">
        <v>37.2</v>
      </c>
      <c r="F81" s="4">
        <v>63.7</v>
      </c>
      <c r="G81" s="4">
        <v>261.6</v>
      </c>
      <c r="H81" s="4">
        <v>2.0</v>
      </c>
      <c r="I81" s="4">
        <v>32.6</v>
      </c>
      <c r="J81" s="4">
        <v>130.9</v>
      </c>
      <c r="K81" s="4">
        <v>4.0</v>
      </c>
      <c r="L81" s="4">
        <v>0.8</v>
      </c>
      <c r="M81" s="4">
        <v>69.8</v>
      </c>
      <c r="N81" s="4">
        <v>392.5</v>
      </c>
      <c r="O81" s="4">
        <v>5.6</v>
      </c>
      <c r="P81" s="4">
        <v>11.4</v>
      </c>
      <c r="Q81" s="4">
        <v>8.3</v>
      </c>
      <c r="R81" s="4">
        <v>1.9</v>
      </c>
      <c r="S81" s="4">
        <v>21.7</v>
      </c>
      <c r="T81" s="4">
        <v>8.2</v>
      </c>
      <c r="U81" s="4">
        <v>73.8</v>
      </c>
      <c r="V81" s="4">
        <v>0.8</v>
      </c>
      <c r="W81" s="4">
        <v>1.3</v>
      </c>
      <c r="X81" s="4">
        <v>2.1</v>
      </c>
    </row>
    <row r="82" ht="15.75" customHeight="1">
      <c r="A82" s="7" t="s">
        <v>168</v>
      </c>
      <c r="B82" s="4">
        <v>13.0</v>
      </c>
      <c r="C82" s="4">
        <v>26.1</v>
      </c>
      <c r="D82" s="4">
        <v>23.1</v>
      </c>
      <c r="E82" s="4">
        <v>33.2</v>
      </c>
      <c r="F82" s="4">
        <v>69.4</v>
      </c>
      <c r="G82" s="4">
        <v>242.5</v>
      </c>
      <c r="H82" s="4">
        <v>1.5</v>
      </c>
      <c r="I82" s="4">
        <v>29.5</v>
      </c>
      <c r="J82" s="4">
        <v>98.2</v>
      </c>
      <c r="K82" s="4">
        <v>3.3</v>
      </c>
      <c r="L82" s="4">
        <v>1.6</v>
      </c>
      <c r="M82" s="4">
        <v>62.7</v>
      </c>
      <c r="N82" s="4">
        <v>340.6</v>
      </c>
      <c r="O82" s="4">
        <v>5.4</v>
      </c>
      <c r="P82" s="4">
        <v>10.8</v>
      </c>
      <c r="Q82" s="4">
        <v>5.6</v>
      </c>
      <c r="R82" s="4">
        <v>2.4</v>
      </c>
      <c r="S82" s="4">
        <v>18.8</v>
      </c>
      <c r="T82" s="4">
        <v>6.2</v>
      </c>
      <c r="U82" s="4">
        <v>54.7</v>
      </c>
      <c r="V82" s="4">
        <v>0.2</v>
      </c>
      <c r="W82" s="4">
        <v>1.1</v>
      </c>
      <c r="X82" s="4">
        <v>1.3</v>
      </c>
    </row>
    <row r="83" ht="15.75" customHeight="1">
      <c r="A83" s="7" t="s">
        <v>179</v>
      </c>
      <c r="B83" s="4">
        <v>12.0</v>
      </c>
      <c r="C83" s="4">
        <v>26.0</v>
      </c>
      <c r="D83" s="4">
        <v>17.8</v>
      </c>
      <c r="E83" s="4">
        <v>28.3</v>
      </c>
      <c r="F83" s="4">
        <v>62.8</v>
      </c>
      <c r="G83" s="4">
        <v>213.0</v>
      </c>
      <c r="H83" s="4">
        <v>1.8</v>
      </c>
      <c r="I83" s="4">
        <v>36.3</v>
      </c>
      <c r="J83" s="4">
        <v>156.2</v>
      </c>
      <c r="K83" s="4">
        <v>4.3</v>
      </c>
      <c r="L83" s="4">
        <v>1.4</v>
      </c>
      <c r="M83" s="4">
        <v>64.6</v>
      </c>
      <c r="N83" s="4">
        <v>369.2</v>
      </c>
      <c r="O83" s="4">
        <v>5.7</v>
      </c>
      <c r="P83" s="4">
        <v>10.1</v>
      </c>
      <c r="Q83" s="4">
        <v>8.8</v>
      </c>
      <c r="R83" s="4">
        <v>1.5</v>
      </c>
      <c r="S83" s="4">
        <v>20.3</v>
      </c>
      <c r="T83" s="4">
        <v>6.7</v>
      </c>
      <c r="U83" s="4">
        <v>58.8</v>
      </c>
      <c r="V83" s="4">
        <v>0.6</v>
      </c>
      <c r="W83" s="4">
        <v>0.8</v>
      </c>
      <c r="X83" s="4">
        <v>1.3</v>
      </c>
    </row>
    <row r="84" ht="15.75" customHeight="1">
      <c r="A84" s="7" t="s">
        <v>134</v>
      </c>
      <c r="B84" s="4">
        <v>12.0</v>
      </c>
      <c r="C84" s="4">
        <v>25.9</v>
      </c>
      <c r="D84" s="4">
        <v>20.8</v>
      </c>
      <c r="E84" s="4">
        <v>34.7</v>
      </c>
      <c r="F84" s="4">
        <v>59.9</v>
      </c>
      <c r="G84" s="4">
        <v>236.0</v>
      </c>
      <c r="H84" s="4">
        <v>1.4</v>
      </c>
      <c r="I84" s="4">
        <v>39.8</v>
      </c>
      <c r="J84" s="4">
        <v>141.8</v>
      </c>
      <c r="K84" s="4">
        <v>3.6</v>
      </c>
      <c r="L84" s="4">
        <v>1.4</v>
      </c>
      <c r="M84" s="4">
        <v>74.4</v>
      </c>
      <c r="N84" s="4">
        <v>377.8</v>
      </c>
      <c r="O84" s="4">
        <v>5.1</v>
      </c>
      <c r="P84" s="4">
        <v>10.8</v>
      </c>
      <c r="Q84" s="4">
        <v>8.5</v>
      </c>
      <c r="R84" s="4">
        <v>2.3</v>
      </c>
      <c r="S84" s="4">
        <v>21.5</v>
      </c>
      <c r="T84" s="4">
        <v>6.4</v>
      </c>
      <c r="U84" s="4">
        <v>62.0</v>
      </c>
      <c r="V84" s="4">
        <v>0.6</v>
      </c>
      <c r="W84" s="4">
        <v>0.8</v>
      </c>
      <c r="X84" s="4">
        <v>1.4</v>
      </c>
    </row>
    <row r="85" ht="15.75" customHeight="1">
      <c r="A85" s="7" t="s">
        <v>102</v>
      </c>
      <c r="B85" s="4">
        <v>12.0</v>
      </c>
      <c r="C85" s="4">
        <v>25.9</v>
      </c>
      <c r="D85" s="4">
        <v>17.1</v>
      </c>
      <c r="E85" s="4">
        <v>29.2</v>
      </c>
      <c r="F85" s="4">
        <v>58.6</v>
      </c>
      <c r="G85" s="4">
        <v>208.6</v>
      </c>
      <c r="H85" s="4">
        <v>1.2</v>
      </c>
      <c r="I85" s="4">
        <v>38.2</v>
      </c>
      <c r="J85" s="4">
        <v>189.0</v>
      </c>
      <c r="K85" s="4">
        <v>5.0</v>
      </c>
      <c r="L85" s="4">
        <v>2.0</v>
      </c>
      <c r="M85" s="4">
        <v>67.3</v>
      </c>
      <c r="N85" s="4">
        <v>397.6</v>
      </c>
      <c r="O85" s="4">
        <v>5.9</v>
      </c>
      <c r="P85" s="4">
        <v>9.3</v>
      </c>
      <c r="Q85" s="4">
        <v>8.5</v>
      </c>
      <c r="R85" s="4">
        <v>1.7</v>
      </c>
      <c r="S85" s="4">
        <v>19.5</v>
      </c>
      <c r="T85" s="4">
        <v>6.6</v>
      </c>
      <c r="U85" s="4">
        <v>51.6</v>
      </c>
      <c r="V85" s="4">
        <v>0.6</v>
      </c>
      <c r="W85" s="4">
        <v>0.9</v>
      </c>
      <c r="X85" s="4">
        <v>1.5</v>
      </c>
    </row>
    <row r="86" ht="15.75" customHeight="1">
      <c r="A86" s="7" t="s">
        <v>118</v>
      </c>
      <c r="B86" s="4">
        <v>13.0</v>
      </c>
      <c r="C86" s="4">
        <v>25.8</v>
      </c>
      <c r="D86" s="4">
        <v>21.1</v>
      </c>
      <c r="E86" s="4">
        <v>34.0</v>
      </c>
      <c r="F86" s="4">
        <v>62.0</v>
      </c>
      <c r="G86" s="4">
        <v>227.5</v>
      </c>
      <c r="H86" s="4">
        <v>1.5</v>
      </c>
      <c r="I86" s="4">
        <v>37.5</v>
      </c>
      <c r="J86" s="4">
        <v>156.9</v>
      </c>
      <c r="K86" s="4">
        <v>4.2</v>
      </c>
      <c r="L86" s="4">
        <v>1.4</v>
      </c>
      <c r="M86" s="4">
        <v>71.5</v>
      </c>
      <c r="N86" s="4">
        <v>384.4</v>
      </c>
      <c r="O86" s="4">
        <v>5.4</v>
      </c>
      <c r="P86" s="4">
        <v>11.1</v>
      </c>
      <c r="Q86" s="4">
        <v>8.7</v>
      </c>
      <c r="R86" s="4">
        <v>2.1</v>
      </c>
      <c r="S86" s="4">
        <v>21.8</v>
      </c>
      <c r="T86" s="4">
        <v>5.6</v>
      </c>
      <c r="U86" s="4">
        <v>51.7</v>
      </c>
      <c r="V86" s="4">
        <v>0.6</v>
      </c>
      <c r="W86" s="4">
        <v>0.8</v>
      </c>
      <c r="X86" s="4">
        <v>1.4</v>
      </c>
    </row>
    <row r="87" ht="15.75" customHeight="1">
      <c r="A87" s="7" t="s">
        <v>173</v>
      </c>
      <c r="B87" s="4">
        <v>12.0</v>
      </c>
      <c r="C87" s="4">
        <v>25.8</v>
      </c>
      <c r="D87" s="4">
        <v>17.9</v>
      </c>
      <c r="E87" s="4">
        <v>30.7</v>
      </c>
      <c r="F87" s="4">
        <v>58.4</v>
      </c>
      <c r="G87" s="4">
        <v>239.3</v>
      </c>
      <c r="H87" s="4">
        <v>1.6</v>
      </c>
      <c r="I87" s="4">
        <v>34.9</v>
      </c>
      <c r="J87" s="4">
        <v>137.9</v>
      </c>
      <c r="K87" s="4">
        <v>3.9</v>
      </c>
      <c r="L87" s="4">
        <v>1.6</v>
      </c>
      <c r="M87" s="4">
        <v>65.6</v>
      </c>
      <c r="N87" s="4">
        <v>377.2</v>
      </c>
      <c r="O87" s="4">
        <v>5.8</v>
      </c>
      <c r="P87" s="4">
        <v>10.2</v>
      </c>
      <c r="Q87" s="4">
        <v>7.8</v>
      </c>
      <c r="R87" s="4">
        <v>2.3</v>
      </c>
      <c r="S87" s="4">
        <v>20.3</v>
      </c>
      <c r="T87" s="4">
        <v>6.8</v>
      </c>
      <c r="U87" s="4">
        <v>60.3</v>
      </c>
      <c r="V87" s="4">
        <v>0.8</v>
      </c>
      <c r="W87" s="4">
        <v>0.7</v>
      </c>
      <c r="X87" s="4">
        <v>1.5</v>
      </c>
    </row>
    <row r="88" ht="15.75" customHeight="1">
      <c r="A88" s="7" t="s">
        <v>95</v>
      </c>
      <c r="B88" s="4">
        <v>12.0</v>
      </c>
      <c r="C88" s="4">
        <v>25.7</v>
      </c>
      <c r="D88" s="4">
        <v>20.7</v>
      </c>
      <c r="E88" s="4">
        <v>33.7</v>
      </c>
      <c r="F88" s="4">
        <v>61.4</v>
      </c>
      <c r="G88" s="4">
        <v>240.1</v>
      </c>
      <c r="H88" s="4">
        <v>1.4</v>
      </c>
      <c r="I88" s="4">
        <v>37.0</v>
      </c>
      <c r="J88" s="4">
        <v>130.6</v>
      </c>
      <c r="K88" s="4">
        <v>3.5</v>
      </c>
      <c r="L88" s="4">
        <v>1.5</v>
      </c>
      <c r="M88" s="4">
        <v>70.7</v>
      </c>
      <c r="N88" s="4">
        <v>370.7</v>
      </c>
      <c r="O88" s="4">
        <v>5.2</v>
      </c>
      <c r="P88" s="4">
        <v>11.3</v>
      </c>
      <c r="Q88" s="4">
        <v>7.8</v>
      </c>
      <c r="R88" s="4">
        <v>2.7</v>
      </c>
      <c r="S88" s="4">
        <v>21.8</v>
      </c>
      <c r="T88" s="4">
        <v>5.1</v>
      </c>
      <c r="U88" s="4">
        <v>45.9</v>
      </c>
      <c r="V88" s="4">
        <v>0.7</v>
      </c>
      <c r="W88" s="4">
        <v>1.1</v>
      </c>
      <c r="X88" s="4">
        <v>1.8</v>
      </c>
    </row>
    <row r="89" ht="15.75" customHeight="1">
      <c r="A89" s="7" t="s">
        <v>242</v>
      </c>
      <c r="B89" s="4">
        <v>12.0</v>
      </c>
      <c r="C89" s="4">
        <v>25.3</v>
      </c>
      <c r="D89" s="4">
        <v>23.3</v>
      </c>
      <c r="E89" s="4">
        <v>36.6</v>
      </c>
      <c r="F89" s="4">
        <v>63.8</v>
      </c>
      <c r="G89" s="4">
        <v>245.0</v>
      </c>
      <c r="H89" s="4">
        <v>2.2</v>
      </c>
      <c r="I89" s="4">
        <v>31.1</v>
      </c>
      <c r="J89" s="4">
        <v>102.8</v>
      </c>
      <c r="K89" s="4">
        <v>3.3</v>
      </c>
      <c r="L89" s="4">
        <v>0.8</v>
      </c>
      <c r="M89" s="4">
        <v>67.7</v>
      </c>
      <c r="N89" s="4">
        <v>347.8</v>
      </c>
      <c r="O89" s="4">
        <v>5.1</v>
      </c>
      <c r="P89" s="4">
        <v>11.2</v>
      </c>
      <c r="Q89" s="4">
        <v>7.2</v>
      </c>
      <c r="R89" s="4">
        <v>1.9</v>
      </c>
      <c r="S89" s="4">
        <v>20.3</v>
      </c>
      <c r="T89" s="4">
        <v>4.9</v>
      </c>
      <c r="U89" s="4">
        <v>45.3</v>
      </c>
      <c r="V89" s="4">
        <v>0.3</v>
      </c>
      <c r="W89" s="4">
        <v>0.9</v>
      </c>
      <c r="X89" s="4">
        <v>1.2</v>
      </c>
    </row>
    <row r="90" ht="15.75" customHeight="1">
      <c r="A90" s="7" t="s">
        <v>130</v>
      </c>
      <c r="B90" s="4">
        <v>12.0</v>
      </c>
      <c r="C90" s="4">
        <v>25.2</v>
      </c>
      <c r="D90" s="4">
        <v>21.0</v>
      </c>
      <c r="E90" s="4">
        <v>32.9</v>
      </c>
      <c r="F90" s="4">
        <v>63.8</v>
      </c>
      <c r="G90" s="4">
        <v>236.5</v>
      </c>
      <c r="H90" s="4">
        <v>1.5</v>
      </c>
      <c r="I90" s="4">
        <v>35.6</v>
      </c>
      <c r="J90" s="4">
        <v>184.1</v>
      </c>
      <c r="K90" s="4">
        <v>5.2</v>
      </c>
      <c r="L90" s="4">
        <v>1.6</v>
      </c>
      <c r="M90" s="4">
        <v>68.5</v>
      </c>
      <c r="N90" s="4">
        <v>420.6</v>
      </c>
      <c r="O90" s="4">
        <v>6.1</v>
      </c>
      <c r="P90" s="4">
        <v>11.7</v>
      </c>
      <c r="Q90" s="4">
        <v>9.0</v>
      </c>
      <c r="R90" s="4">
        <v>1.4</v>
      </c>
      <c r="S90" s="4">
        <v>22.1</v>
      </c>
      <c r="T90" s="4">
        <v>5.3</v>
      </c>
      <c r="U90" s="4">
        <v>44.4</v>
      </c>
      <c r="V90" s="4">
        <v>0.9</v>
      </c>
      <c r="W90" s="4">
        <v>0.6</v>
      </c>
      <c r="X90" s="4">
        <v>1.5</v>
      </c>
    </row>
    <row r="91" ht="15.75" customHeight="1">
      <c r="A91" s="7" t="s">
        <v>128</v>
      </c>
      <c r="B91" s="4">
        <v>13.0</v>
      </c>
      <c r="C91" s="4">
        <v>25.1</v>
      </c>
      <c r="D91" s="4">
        <v>23.2</v>
      </c>
      <c r="E91" s="4">
        <v>35.7</v>
      </c>
      <c r="F91" s="4">
        <v>65.1</v>
      </c>
      <c r="G91" s="4">
        <v>258.6</v>
      </c>
      <c r="H91" s="4">
        <v>1.2</v>
      </c>
      <c r="I91" s="4">
        <v>34.2</v>
      </c>
      <c r="J91" s="4">
        <v>121.5</v>
      </c>
      <c r="K91" s="4">
        <v>3.6</v>
      </c>
      <c r="L91" s="4">
        <v>1.3</v>
      </c>
      <c r="M91" s="4">
        <v>69.8</v>
      </c>
      <c r="N91" s="4">
        <v>380.2</v>
      </c>
      <c r="O91" s="4">
        <v>5.4</v>
      </c>
      <c r="P91" s="4">
        <v>11.9</v>
      </c>
      <c r="Q91" s="4">
        <v>7.1</v>
      </c>
      <c r="R91" s="4">
        <v>1.9</v>
      </c>
      <c r="S91" s="4">
        <v>20.9</v>
      </c>
      <c r="T91" s="4">
        <v>7.4</v>
      </c>
      <c r="U91" s="4">
        <v>59.7</v>
      </c>
      <c r="V91" s="4">
        <v>0.3</v>
      </c>
      <c r="W91" s="4">
        <v>0.5</v>
      </c>
      <c r="X91" s="4">
        <v>0.8</v>
      </c>
    </row>
    <row r="92" ht="15.75" customHeight="1">
      <c r="A92" s="7" t="s">
        <v>91</v>
      </c>
      <c r="B92" s="4">
        <v>12.0</v>
      </c>
      <c r="C92" s="4">
        <v>25.0</v>
      </c>
      <c r="D92" s="4">
        <v>20.7</v>
      </c>
      <c r="E92" s="4">
        <v>36.5</v>
      </c>
      <c r="F92" s="4">
        <v>56.6</v>
      </c>
      <c r="G92" s="4">
        <v>238.6</v>
      </c>
      <c r="H92" s="4">
        <v>1.9</v>
      </c>
      <c r="I92" s="4">
        <v>37.6</v>
      </c>
      <c r="J92" s="4">
        <v>151.1</v>
      </c>
      <c r="K92" s="4">
        <v>4.0</v>
      </c>
      <c r="L92" s="4">
        <v>0.9</v>
      </c>
      <c r="M92" s="4">
        <v>74.1</v>
      </c>
      <c r="N92" s="4">
        <v>389.7</v>
      </c>
      <c r="O92" s="4">
        <v>5.3</v>
      </c>
      <c r="P92" s="4">
        <v>10.2</v>
      </c>
      <c r="Q92" s="4">
        <v>7.6</v>
      </c>
      <c r="R92" s="4">
        <v>2.8</v>
      </c>
      <c r="S92" s="4">
        <v>20.6</v>
      </c>
      <c r="T92" s="4">
        <v>5.9</v>
      </c>
      <c r="U92" s="4">
        <v>51.0</v>
      </c>
      <c r="V92" s="4">
        <v>0.8</v>
      </c>
      <c r="W92" s="4">
        <v>1.0</v>
      </c>
      <c r="X92" s="4">
        <v>1.8</v>
      </c>
    </row>
    <row r="93" ht="15.75" customHeight="1">
      <c r="A93" s="7" t="s">
        <v>112</v>
      </c>
      <c r="B93" s="4">
        <v>14.0</v>
      </c>
      <c r="C93" s="4">
        <v>24.9</v>
      </c>
      <c r="D93" s="4">
        <v>22.1</v>
      </c>
      <c r="E93" s="4">
        <v>33.6</v>
      </c>
      <c r="F93" s="4">
        <v>65.7</v>
      </c>
      <c r="G93" s="4">
        <v>264.6</v>
      </c>
      <c r="H93" s="4">
        <v>2.0</v>
      </c>
      <c r="I93" s="4">
        <v>31.4</v>
      </c>
      <c r="J93" s="4">
        <v>108.9</v>
      </c>
      <c r="K93" s="4">
        <v>3.5</v>
      </c>
      <c r="L93" s="4">
        <v>1.0</v>
      </c>
      <c r="M93" s="4">
        <v>65.0</v>
      </c>
      <c r="N93" s="4">
        <v>373.5</v>
      </c>
      <c r="O93" s="4">
        <v>5.7</v>
      </c>
      <c r="P93" s="4">
        <v>11.5</v>
      </c>
      <c r="Q93" s="4">
        <v>6.4</v>
      </c>
      <c r="R93" s="4">
        <v>1.4</v>
      </c>
      <c r="S93" s="4">
        <v>19.3</v>
      </c>
      <c r="T93" s="4">
        <v>4.1</v>
      </c>
      <c r="U93" s="4">
        <v>41.3</v>
      </c>
      <c r="V93" s="4">
        <v>0.9</v>
      </c>
      <c r="W93" s="4">
        <v>0.9</v>
      </c>
      <c r="X93" s="4">
        <v>1.7</v>
      </c>
    </row>
    <row r="94" ht="15.75" customHeight="1">
      <c r="A94" s="7" t="s">
        <v>186</v>
      </c>
      <c r="B94" s="4">
        <v>13.0</v>
      </c>
      <c r="C94" s="4">
        <v>24.5</v>
      </c>
      <c r="D94" s="4">
        <v>16.6</v>
      </c>
      <c r="E94" s="4">
        <v>28.5</v>
      </c>
      <c r="F94" s="4">
        <v>58.2</v>
      </c>
      <c r="G94" s="4">
        <v>178.5</v>
      </c>
      <c r="H94" s="4">
        <v>1.2</v>
      </c>
      <c r="I94" s="4">
        <v>43.2</v>
      </c>
      <c r="J94" s="4">
        <v>203.8</v>
      </c>
      <c r="K94" s="4">
        <v>4.7</v>
      </c>
      <c r="L94" s="4">
        <v>1.7</v>
      </c>
      <c r="M94" s="4">
        <v>71.8</v>
      </c>
      <c r="N94" s="4">
        <v>382.2</v>
      </c>
      <c r="O94" s="4">
        <v>5.3</v>
      </c>
      <c r="P94" s="4">
        <v>8.8</v>
      </c>
      <c r="Q94" s="4">
        <v>10.5</v>
      </c>
      <c r="R94" s="4">
        <v>2.1</v>
      </c>
      <c r="S94" s="4">
        <v>21.5</v>
      </c>
      <c r="T94" s="4">
        <v>4.2</v>
      </c>
      <c r="U94" s="4">
        <v>42.8</v>
      </c>
      <c r="V94" s="4">
        <v>0.7</v>
      </c>
      <c r="W94" s="4">
        <v>0.6</v>
      </c>
      <c r="X94" s="4">
        <v>1.3</v>
      </c>
    </row>
    <row r="95" ht="15.75" customHeight="1">
      <c r="A95" s="7" t="s">
        <v>220</v>
      </c>
      <c r="B95" s="4">
        <v>13.0</v>
      </c>
      <c r="C95" s="4">
        <v>24.4</v>
      </c>
      <c r="D95" s="4">
        <v>18.2</v>
      </c>
      <c r="E95" s="4">
        <v>30.0</v>
      </c>
      <c r="F95" s="4">
        <v>60.5</v>
      </c>
      <c r="G95" s="4">
        <v>219.5</v>
      </c>
      <c r="H95" s="4">
        <v>1.2</v>
      </c>
      <c r="I95" s="4">
        <v>35.6</v>
      </c>
      <c r="J95" s="4">
        <v>168.2</v>
      </c>
      <c r="K95" s="4">
        <v>4.7</v>
      </c>
      <c r="L95" s="4">
        <v>1.5</v>
      </c>
      <c r="M95" s="4">
        <v>65.6</v>
      </c>
      <c r="N95" s="4">
        <v>387.6</v>
      </c>
      <c r="O95" s="4">
        <v>5.9</v>
      </c>
      <c r="P95" s="4">
        <v>8.7</v>
      </c>
      <c r="Q95" s="4">
        <v>7.9</v>
      </c>
      <c r="R95" s="4">
        <v>1.3</v>
      </c>
      <c r="S95" s="4">
        <v>17.9</v>
      </c>
      <c r="T95" s="4">
        <v>6.5</v>
      </c>
      <c r="U95" s="4">
        <v>51.5</v>
      </c>
      <c r="V95" s="4">
        <v>0.8</v>
      </c>
      <c r="W95" s="4">
        <v>0.8</v>
      </c>
      <c r="X95" s="4">
        <v>1.5</v>
      </c>
    </row>
    <row r="96" ht="15.75" customHeight="1">
      <c r="A96" s="7" t="s">
        <v>198</v>
      </c>
      <c r="B96" s="4">
        <v>12.0</v>
      </c>
      <c r="C96" s="4">
        <v>24.3</v>
      </c>
      <c r="D96" s="4">
        <v>18.0</v>
      </c>
      <c r="E96" s="4">
        <v>30.0</v>
      </c>
      <c r="F96" s="4">
        <v>60.0</v>
      </c>
      <c r="G96" s="4">
        <v>201.4</v>
      </c>
      <c r="H96" s="4">
        <v>0.6</v>
      </c>
      <c r="I96" s="4">
        <v>40.3</v>
      </c>
      <c r="J96" s="4">
        <v>189.2</v>
      </c>
      <c r="K96" s="4">
        <v>4.7</v>
      </c>
      <c r="L96" s="4">
        <v>2.4</v>
      </c>
      <c r="M96" s="4">
        <v>70.3</v>
      </c>
      <c r="N96" s="4">
        <v>390.6</v>
      </c>
      <c r="O96" s="4">
        <v>5.6</v>
      </c>
      <c r="P96" s="4">
        <v>9.2</v>
      </c>
      <c r="Q96" s="4">
        <v>11.1</v>
      </c>
      <c r="R96" s="4">
        <v>2.1</v>
      </c>
      <c r="S96" s="4">
        <v>22.3</v>
      </c>
      <c r="T96" s="4">
        <v>5.1</v>
      </c>
      <c r="U96" s="4">
        <v>45.7</v>
      </c>
      <c r="V96" s="4">
        <v>0.4</v>
      </c>
      <c r="W96" s="4">
        <v>0.9</v>
      </c>
      <c r="X96" s="4">
        <v>1.3</v>
      </c>
    </row>
    <row r="97" ht="15.75" customHeight="1">
      <c r="A97" s="7" t="s">
        <v>189</v>
      </c>
      <c r="B97" s="4">
        <v>14.0</v>
      </c>
      <c r="C97" s="4">
        <v>24.1</v>
      </c>
      <c r="D97" s="4">
        <v>16.1</v>
      </c>
      <c r="E97" s="4">
        <v>28.5</v>
      </c>
      <c r="F97" s="4">
        <v>56.4</v>
      </c>
      <c r="G97" s="4">
        <v>217.4</v>
      </c>
      <c r="H97" s="4">
        <v>1.6</v>
      </c>
      <c r="I97" s="4">
        <v>29.5</v>
      </c>
      <c r="J97" s="4">
        <v>135.3</v>
      </c>
      <c r="K97" s="4">
        <v>4.6</v>
      </c>
      <c r="L97" s="4">
        <v>1.0</v>
      </c>
      <c r="M97" s="4">
        <v>58.0</v>
      </c>
      <c r="N97" s="4">
        <v>352.7</v>
      </c>
      <c r="O97" s="4">
        <v>6.1</v>
      </c>
      <c r="P97" s="4">
        <v>9.7</v>
      </c>
      <c r="Q97" s="4">
        <v>5.9</v>
      </c>
      <c r="R97" s="4">
        <v>1.2</v>
      </c>
      <c r="S97" s="4">
        <v>16.9</v>
      </c>
      <c r="T97" s="4">
        <v>5.3</v>
      </c>
      <c r="U97" s="4">
        <v>41.8</v>
      </c>
      <c r="V97" s="4">
        <v>0.4</v>
      </c>
      <c r="W97" s="4">
        <v>0.9</v>
      </c>
      <c r="X97" s="4">
        <v>1.3</v>
      </c>
    </row>
    <row r="98" ht="15.75" customHeight="1">
      <c r="A98" s="7" t="s">
        <v>103</v>
      </c>
      <c r="B98" s="4">
        <v>13.0</v>
      </c>
      <c r="C98" s="4">
        <v>24.0</v>
      </c>
      <c r="D98" s="4">
        <v>18.1</v>
      </c>
      <c r="E98" s="4">
        <v>28.7</v>
      </c>
      <c r="F98" s="4">
        <v>63.0</v>
      </c>
      <c r="G98" s="4">
        <v>175.8</v>
      </c>
      <c r="H98" s="4">
        <v>1.2</v>
      </c>
      <c r="I98" s="4">
        <v>40.1</v>
      </c>
      <c r="J98" s="4">
        <v>155.2</v>
      </c>
      <c r="K98" s="4">
        <v>3.9</v>
      </c>
      <c r="L98" s="4">
        <v>1.3</v>
      </c>
      <c r="M98" s="4">
        <v>68.8</v>
      </c>
      <c r="N98" s="4">
        <v>331.0</v>
      </c>
      <c r="O98" s="4">
        <v>4.8</v>
      </c>
      <c r="P98" s="4">
        <v>7.7</v>
      </c>
      <c r="Q98" s="4">
        <v>9.2</v>
      </c>
      <c r="R98" s="4">
        <v>2.1</v>
      </c>
      <c r="S98" s="4">
        <v>19.0</v>
      </c>
      <c r="T98" s="4">
        <v>5.3</v>
      </c>
      <c r="U98" s="4">
        <v>45.5</v>
      </c>
      <c r="V98" s="4">
        <v>1.2</v>
      </c>
      <c r="W98" s="4">
        <v>0.5</v>
      </c>
      <c r="X98" s="4">
        <v>1.6</v>
      </c>
    </row>
    <row r="99" ht="15.75" customHeight="1">
      <c r="A99" s="7" t="s">
        <v>138</v>
      </c>
      <c r="B99" s="4">
        <v>12.0</v>
      </c>
      <c r="C99" s="4">
        <v>23.8</v>
      </c>
      <c r="D99" s="4">
        <v>22.6</v>
      </c>
      <c r="E99" s="4">
        <v>37.4</v>
      </c>
      <c r="F99" s="4">
        <v>60.4</v>
      </c>
      <c r="G99" s="4">
        <v>255.8</v>
      </c>
      <c r="H99" s="4">
        <v>1.8</v>
      </c>
      <c r="I99" s="4">
        <v>30.4</v>
      </c>
      <c r="J99" s="4">
        <v>133.3</v>
      </c>
      <c r="K99" s="4">
        <v>4.4</v>
      </c>
      <c r="L99" s="4">
        <v>1.1</v>
      </c>
      <c r="M99" s="4">
        <v>67.8</v>
      </c>
      <c r="N99" s="4">
        <v>389.0</v>
      </c>
      <c r="O99" s="4">
        <v>5.7</v>
      </c>
      <c r="P99" s="4">
        <v>11.8</v>
      </c>
      <c r="Q99" s="4">
        <v>6.9</v>
      </c>
      <c r="R99" s="4">
        <v>2.0</v>
      </c>
      <c r="S99" s="4">
        <v>20.8</v>
      </c>
      <c r="T99" s="4">
        <v>5.1</v>
      </c>
      <c r="U99" s="4">
        <v>49.1</v>
      </c>
      <c r="V99" s="4">
        <v>0.5</v>
      </c>
      <c r="W99" s="4">
        <v>1.1</v>
      </c>
      <c r="X99" s="4">
        <v>1.6</v>
      </c>
    </row>
    <row r="100" ht="15.75" customHeight="1">
      <c r="A100" s="7" t="s">
        <v>206</v>
      </c>
      <c r="B100" s="4">
        <v>13.0</v>
      </c>
      <c r="C100" s="4">
        <v>23.8</v>
      </c>
      <c r="D100" s="4">
        <v>16.7</v>
      </c>
      <c r="E100" s="4">
        <v>26.9</v>
      </c>
      <c r="F100" s="4">
        <v>62.0</v>
      </c>
      <c r="G100" s="4">
        <v>168.2</v>
      </c>
      <c r="H100" s="4">
        <v>1.2</v>
      </c>
      <c r="I100" s="4">
        <v>42.8</v>
      </c>
      <c r="J100" s="4">
        <v>179.8</v>
      </c>
      <c r="K100" s="4">
        <v>4.2</v>
      </c>
      <c r="L100" s="4">
        <v>1.6</v>
      </c>
      <c r="M100" s="4">
        <v>69.8</v>
      </c>
      <c r="N100" s="4">
        <v>347.9</v>
      </c>
      <c r="O100" s="4">
        <v>5.0</v>
      </c>
      <c r="P100" s="4">
        <v>8.0</v>
      </c>
      <c r="Q100" s="4">
        <v>9.5</v>
      </c>
      <c r="R100" s="4">
        <v>1.4</v>
      </c>
      <c r="S100" s="4">
        <v>18.8</v>
      </c>
      <c r="T100" s="4">
        <v>4.6</v>
      </c>
      <c r="U100" s="4">
        <v>37.9</v>
      </c>
      <c r="V100" s="4">
        <v>0.5</v>
      </c>
      <c r="W100" s="4">
        <v>0.7</v>
      </c>
      <c r="X100" s="4">
        <v>1.2</v>
      </c>
    </row>
    <row r="101" ht="15.75" customHeight="1">
      <c r="A101" s="7" t="s">
        <v>146</v>
      </c>
      <c r="B101" s="4">
        <v>12.0</v>
      </c>
      <c r="C101" s="4">
        <v>23.7</v>
      </c>
      <c r="D101" s="4">
        <v>14.8</v>
      </c>
      <c r="E101" s="4">
        <v>29.4</v>
      </c>
      <c r="F101" s="4">
        <v>50.1</v>
      </c>
      <c r="G101" s="4">
        <v>224.1</v>
      </c>
      <c r="H101" s="4">
        <v>1.3</v>
      </c>
      <c r="I101" s="4">
        <v>32.5</v>
      </c>
      <c r="J101" s="4">
        <v>117.1</v>
      </c>
      <c r="K101" s="4">
        <v>3.6</v>
      </c>
      <c r="L101" s="4">
        <v>1.3</v>
      </c>
      <c r="M101" s="4">
        <v>61.9</v>
      </c>
      <c r="N101" s="4">
        <v>341.2</v>
      </c>
      <c r="O101" s="4">
        <v>5.5</v>
      </c>
      <c r="P101" s="4">
        <v>8.7</v>
      </c>
      <c r="Q101" s="4">
        <v>6.4</v>
      </c>
      <c r="R101" s="4">
        <v>2.1</v>
      </c>
      <c r="S101" s="4">
        <v>17.2</v>
      </c>
      <c r="T101" s="4">
        <v>7.8</v>
      </c>
      <c r="U101" s="4">
        <v>65.3</v>
      </c>
      <c r="V101" s="4">
        <v>0.6</v>
      </c>
      <c r="W101" s="4">
        <v>1.2</v>
      </c>
      <c r="X101" s="4">
        <v>1.8</v>
      </c>
    </row>
    <row r="102" ht="15.75" customHeight="1">
      <c r="A102" s="7" t="s">
        <v>161</v>
      </c>
      <c r="B102" s="4">
        <v>12.0</v>
      </c>
      <c r="C102" s="4">
        <v>23.7</v>
      </c>
      <c r="D102" s="4">
        <v>26.3</v>
      </c>
      <c r="E102" s="4">
        <v>41.2</v>
      </c>
      <c r="F102" s="4">
        <v>63.8</v>
      </c>
      <c r="G102" s="4">
        <v>275.7</v>
      </c>
      <c r="H102" s="4">
        <v>1.8</v>
      </c>
      <c r="I102" s="4">
        <v>30.8</v>
      </c>
      <c r="J102" s="4">
        <v>110.4</v>
      </c>
      <c r="K102" s="4">
        <v>3.6</v>
      </c>
      <c r="L102" s="4">
        <v>1.3</v>
      </c>
      <c r="M102" s="4">
        <v>72.0</v>
      </c>
      <c r="N102" s="4">
        <v>386.1</v>
      </c>
      <c r="O102" s="4">
        <v>5.4</v>
      </c>
      <c r="P102" s="4">
        <v>13.1</v>
      </c>
      <c r="Q102" s="4">
        <v>6.3</v>
      </c>
      <c r="R102" s="4">
        <v>2.2</v>
      </c>
      <c r="S102" s="4">
        <v>21.5</v>
      </c>
      <c r="T102" s="4">
        <v>6.4</v>
      </c>
      <c r="U102" s="4">
        <v>58.6</v>
      </c>
      <c r="V102" s="4">
        <v>0.5</v>
      </c>
      <c r="W102" s="4">
        <v>1.2</v>
      </c>
      <c r="X102" s="4">
        <v>1.7</v>
      </c>
    </row>
    <row r="103" ht="15.75" customHeight="1">
      <c r="A103" s="7" t="s">
        <v>93</v>
      </c>
      <c r="B103" s="4">
        <v>12.0</v>
      </c>
      <c r="C103" s="4">
        <v>23.6</v>
      </c>
      <c r="D103" s="4">
        <v>16.6</v>
      </c>
      <c r="E103" s="4">
        <v>29.8</v>
      </c>
      <c r="F103" s="4">
        <v>55.6</v>
      </c>
      <c r="G103" s="4">
        <v>199.4</v>
      </c>
      <c r="H103" s="4">
        <v>1.7</v>
      </c>
      <c r="I103" s="4">
        <v>33.6</v>
      </c>
      <c r="J103" s="4">
        <v>130.4</v>
      </c>
      <c r="K103" s="4">
        <v>3.9</v>
      </c>
      <c r="L103" s="4">
        <v>0.6</v>
      </c>
      <c r="M103" s="4">
        <v>63.4</v>
      </c>
      <c r="N103" s="4">
        <v>329.8</v>
      </c>
      <c r="O103" s="4">
        <v>5.2</v>
      </c>
      <c r="P103" s="4">
        <v>8.6</v>
      </c>
      <c r="Q103" s="4">
        <v>6.8</v>
      </c>
      <c r="R103" s="4">
        <v>1.3</v>
      </c>
      <c r="S103" s="4">
        <v>16.6</v>
      </c>
      <c r="T103" s="4">
        <v>5.4</v>
      </c>
      <c r="U103" s="4">
        <v>46.3</v>
      </c>
      <c r="V103" s="4">
        <v>0.4</v>
      </c>
      <c r="W103" s="4">
        <v>1.4</v>
      </c>
      <c r="X103" s="4">
        <v>1.8</v>
      </c>
    </row>
    <row r="104" ht="15.75" customHeight="1">
      <c r="A104" s="7" t="s">
        <v>177</v>
      </c>
      <c r="B104" s="4">
        <v>13.0</v>
      </c>
      <c r="C104" s="4">
        <v>23.5</v>
      </c>
      <c r="D104" s="4">
        <v>22.2</v>
      </c>
      <c r="E104" s="4">
        <v>33.5</v>
      </c>
      <c r="F104" s="4">
        <v>66.2</v>
      </c>
      <c r="G104" s="4">
        <v>228.4</v>
      </c>
      <c r="H104" s="4">
        <v>1.0</v>
      </c>
      <c r="I104" s="4">
        <v>34.5</v>
      </c>
      <c r="J104" s="4">
        <v>130.6</v>
      </c>
      <c r="K104" s="4">
        <v>3.8</v>
      </c>
      <c r="L104" s="4">
        <v>1.7</v>
      </c>
      <c r="M104" s="4">
        <v>67.9</v>
      </c>
      <c r="N104" s="4">
        <v>359.0</v>
      </c>
      <c r="O104" s="4">
        <v>5.3</v>
      </c>
      <c r="P104" s="4">
        <v>10.5</v>
      </c>
      <c r="Q104" s="4">
        <v>8.4</v>
      </c>
      <c r="R104" s="4">
        <v>2.8</v>
      </c>
      <c r="S104" s="4">
        <v>21.8</v>
      </c>
      <c r="T104" s="4">
        <v>6.2</v>
      </c>
      <c r="U104" s="4">
        <v>53.2</v>
      </c>
      <c r="V104" s="4">
        <v>0.5</v>
      </c>
      <c r="W104" s="4">
        <v>0.9</v>
      </c>
      <c r="X104" s="4">
        <v>1.5</v>
      </c>
    </row>
    <row r="105" ht="15.75" customHeight="1">
      <c r="A105" s="7" t="s">
        <v>234</v>
      </c>
      <c r="B105" s="4">
        <v>13.0</v>
      </c>
      <c r="C105" s="4">
        <v>23.4</v>
      </c>
      <c r="D105" s="4">
        <v>23.2</v>
      </c>
      <c r="E105" s="4">
        <v>32.1</v>
      </c>
      <c r="F105" s="4">
        <v>72.4</v>
      </c>
      <c r="G105" s="4">
        <v>261.7</v>
      </c>
      <c r="H105" s="4">
        <v>1.7</v>
      </c>
      <c r="I105" s="4">
        <v>32.5</v>
      </c>
      <c r="J105" s="4">
        <v>128.8</v>
      </c>
      <c r="K105" s="4">
        <v>4.0</v>
      </c>
      <c r="L105" s="4">
        <v>1.1</v>
      </c>
      <c r="M105" s="4">
        <v>64.6</v>
      </c>
      <c r="N105" s="4">
        <v>390.5</v>
      </c>
      <c r="O105" s="4">
        <v>6.0</v>
      </c>
      <c r="P105" s="4">
        <v>11.5</v>
      </c>
      <c r="Q105" s="4">
        <v>8.0</v>
      </c>
      <c r="R105" s="4">
        <v>1.2</v>
      </c>
      <c r="S105" s="4">
        <v>20.7</v>
      </c>
      <c r="T105" s="4">
        <v>5.8</v>
      </c>
      <c r="U105" s="4">
        <v>51.8</v>
      </c>
      <c r="V105" s="4">
        <v>0.3</v>
      </c>
      <c r="W105" s="4">
        <v>0.6</v>
      </c>
      <c r="X105" s="4">
        <v>0.9</v>
      </c>
    </row>
    <row r="106" ht="15.75" customHeight="1">
      <c r="A106" s="7" t="s">
        <v>52</v>
      </c>
      <c r="B106" s="4">
        <v>13.0</v>
      </c>
      <c r="C106" s="4">
        <v>23.1</v>
      </c>
      <c r="D106" s="4">
        <v>19.0</v>
      </c>
      <c r="E106" s="4">
        <v>28.2</v>
      </c>
      <c r="F106" s="4">
        <v>67.5</v>
      </c>
      <c r="G106" s="4">
        <v>212.6</v>
      </c>
      <c r="H106" s="4">
        <v>1.5</v>
      </c>
      <c r="I106" s="4">
        <v>35.5</v>
      </c>
      <c r="J106" s="4">
        <v>163.5</v>
      </c>
      <c r="K106" s="4">
        <v>4.6</v>
      </c>
      <c r="L106" s="4">
        <v>1.6</v>
      </c>
      <c r="M106" s="4">
        <v>63.7</v>
      </c>
      <c r="N106" s="4">
        <v>376.1</v>
      </c>
      <c r="O106" s="4">
        <v>5.9</v>
      </c>
      <c r="P106" s="4">
        <v>9.0</v>
      </c>
      <c r="Q106" s="4">
        <v>8.8</v>
      </c>
      <c r="R106" s="4">
        <v>1.7</v>
      </c>
      <c r="S106" s="4">
        <v>19.5</v>
      </c>
      <c r="T106" s="4">
        <v>7.6</v>
      </c>
      <c r="U106" s="4">
        <v>71.9</v>
      </c>
      <c r="V106" s="4">
        <v>0.5</v>
      </c>
      <c r="W106" s="4">
        <v>0.6</v>
      </c>
      <c r="X106" s="4">
        <v>1.2</v>
      </c>
    </row>
    <row r="107" ht="15.75" customHeight="1">
      <c r="A107" s="7" t="s">
        <v>106</v>
      </c>
      <c r="B107" s="4">
        <v>12.0</v>
      </c>
      <c r="C107" s="4">
        <v>22.8</v>
      </c>
      <c r="D107" s="4">
        <v>18.7</v>
      </c>
      <c r="E107" s="4">
        <v>30.8</v>
      </c>
      <c r="F107" s="4">
        <v>60.5</v>
      </c>
      <c r="G107" s="4">
        <v>191.3</v>
      </c>
      <c r="H107" s="4">
        <v>1.5</v>
      </c>
      <c r="I107" s="4">
        <v>36.4</v>
      </c>
      <c r="J107" s="4">
        <v>132.7</v>
      </c>
      <c r="K107" s="4">
        <v>3.6</v>
      </c>
      <c r="L107" s="4">
        <v>0.9</v>
      </c>
      <c r="M107" s="4">
        <v>67.3</v>
      </c>
      <c r="N107" s="4">
        <v>323.9</v>
      </c>
      <c r="O107" s="4">
        <v>4.8</v>
      </c>
      <c r="P107" s="4">
        <v>9.3</v>
      </c>
      <c r="Q107" s="4">
        <v>7.4</v>
      </c>
      <c r="R107" s="4">
        <v>1.8</v>
      </c>
      <c r="S107" s="4">
        <v>18.6</v>
      </c>
      <c r="T107" s="4">
        <v>5.4</v>
      </c>
      <c r="U107" s="4">
        <v>49.0</v>
      </c>
      <c r="V107" s="4">
        <v>0.4</v>
      </c>
      <c r="W107" s="4">
        <v>1.4</v>
      </c>
      <c r="X107" s="4">
        <v>1.8</v>
      </c>
    </row>
    <row r="108" ht="15.75" customHeight="1">
      <c r="A108" s="7" t="s">
        <v>232</v>
      </c>
      <c r="B108" s="4">
        <v>12.0</v>
      </c>
      <c r="C108" s="4">
        <v>22.7</v>
      </c>
      <c r="D108" s="4">
        <v>20.5</v>
      </c>
      <c r="E108" s="4">
        <v>33.4</v>
      </c>
      <c r="F108" s="4">
        <v>61.3</v>
      </c>
      <c r="G108" s="4">
        <v>229.0</v>
      </c>
      <c r="H108" s="4">
        <v>1.3</v>
      </c>
      <c r="I108" s="4">
        <v>36.0</v>
      </c>
      <c r="J108" s="4">
        <v>131.9</v>
      </c>
      <c r="K108" s="4">
        <v>3.7</v>
      </c>
      <c r="L108" s="4">
        <v>1.2</v>
      </c>
      <c r="M108" s="4">
        <v>69.4</v>
      </c>
      <c r="N108" s="4">
        <v>360.9</v>
      </c>
      <c r="O108" s="4">
        <v>5.2</v>
      </c>
      <c r="P108" s="4">
        <v>9.7</v>
      </c>
      <c r="Q108" s="4">
        <v>8.3</v>
      </c>
      <c r="R108" s="4">
        <v>1.6</v>
      </c>
      <c r="S108" s="4">
        <v>19.5</v>
      </c>
      <c r="T108" s="4">
        <v>5.2</v>
      </c>
      <c r="U108" s="4">
        <v>45.3</v>
      </c>
      <c r="V108" s="4">
        <v>0.4</v>
      </c>
      <c r="W108" s="4">
        <v>1.2</v>
      </c>
      <c r="X108" s="4">
        <v>1.6</v>
      </c>
    </row>
    <row r="109" ht="15.75" customHeight="1">
      <c r="A109" s="7" t="s">
        <v>65</v>
      </c>
      <c r="B109" s="4">
        <v>12.0</v>
      </c>
      <c r="C109" s="4">
        <v>22.6</v>
      </c>
      <c r="D109" s="4">
        <v>13.9</v>
      </c>
      <c r="E109" s="4">
        <v>25.2</v>
      </c>
      <c r="F109" s="4">
        <v>55.3</v>
      </c>
      <c r="G109" s="4">
        <v>163.4</v>
      </c>
      <c r="H109" s="4">
        <v>0.9</v>
      </c>
      <c r="I109" s="4">
        <v>37.3</v>
      </c>
      <c r="J109" s="4">
        <v>166.1</v>
      </c>
      <c r="K109" s="4">
        <v>4.5</v>
      </c>
      <c r="L109" s="4">
        <v>1.4</v>
      </c>
      <c r="M109" s="4">
        <v>62.4</v>
      </c>
      <c r="N109" s="4">
        <v>329.5</v>
      </c>
      <c r="O109" s="4">
        <v>5.3</v>
      </c>
      <c r="P109" s="4">
        <v>6.9</v>
      </c>
      <c r="Q109" s="4">
        <v>8.8</v>
      </c>
      <c r="R109" s="4">
        <v>2.3</v>
      </c>
      <c r="S109" s="4">
        <v>18.0</v>
      </c>
      <c r="T109" s="4">
        <v>6.8</v>
      </c>
      <c r="U109" s="4">
        <v>60.9</v>
      </c>
      <c r="V109" s="4">
        <v>0.8</v>
      </c>
      <c r="W109" s="4">
        <v>1.0</v>
      </c>
      <c r="X109" s="4">
        <v>1.8</v>
      </c>
    </row>
    <row r="110" ht="15.75" customHeight="1">
      <c r="A110" s="7" t="s">
        <v>107</v>
      </c>
      <c r="B110" s="4">
        <v>12.0</v>
      </c>
      <c r="C110" s="4">
        <v>22.6</v>
      </c>
      <c r="D110" s="4">
        <v>17.3</v>
      </c>
      <c r="E110" s="4">
        <v>30.4</v>
      </c>
      <c r="F110" s="4">
        <v>57.0</v>
      </c>
      <c r="G110" s="4">
        <v>196.7</v>
      </c>
      <c r="H110" s="4">
        <v>1.2</v>
      </c>
      <c r="I110" s="4">
        <v>35.2</v>
      </c>
      <c r="J110" s="4">
        <v>153.7</v>
      </c>
      <c r="K110" s="4">
        <v>4.4</v>
      </c>
      <c r="L110" s="4">
        <v>1.6</v>
      </c>
      <c r="M110" s="4">
        <v>65.6</v>
      </c>
      <c r="N110" s="4">
        <v>350.3</v>
      </c>
      <c r="O110" s="4">
        <v>5.3</v>
      </c>
      <c r="P110" s="4">
        <v>8.2</v>
      </c>
      <c r="Q110" s="4">
        <v>8.7</v>
      </c>
      <c r="R110" s="4">
        <v>1.9</v>
      </c>
      <c r="S110" s="4">
        <v>18.8</v>
      </c>
      <c r="T110" s="4">
        <v>5.3</v>
      </c>
      <c r="U110" s="4">
        <v>37.5</v>
      </c>
      <c r="V110" s="4">
        <v>0.7</v>
      </c>
      <c r="W110" s="4">
        <v>0.8</v>
      </c>
      <c r="X110" s="4">
        <v>1.5</v>
      </c>
    </row>
    <row r="111" ht="15.75" customHeight="1">
      <c r="A111" s="7" t="s">
        <v>135</v>
      </c>
      <c r="B111" s="4">
        <v>12.0</v>
      </c>
      <c r="C111" s="4">
        <v>22.5</v>
      </c>
      <c r="D111" s="4">
        <v>15.6</v>
      </c>
      <c r="E111" s="4">
        <v>27.3</v>
      </c>
      <c r="F111" s="4">
        <v>57.2</v>
      </c>
      <c r="G111" s="4">
        <v>181.8</v>
      </c>
      <c r="H111" s="4">
        <v>1.2</v>
      </c>
      <c r="I111" s="4">
        <v>40.3</v>
      </c>
      <c r="J111" s="4">
        <v>163.5</v>
      </c>
      <c r="K111" s="4">
        <v>4.1</v>
      </c>
      <c r="L111" s="4">
        <v>1.5</v>
      </c>
      <c r="M111" s="4">
        <v>67.5</v>
      </c>
      <c r="N111" s="4">
        <v>345.3</v>
      </c>
      <c r="O111" s="4">
        <v>5.1</v>
      </c>
      <c r="P111" s="4">
        <v>7.7</v>
      </c>
      <c r="Q111" s="4">
        <v>9.8</v>
      </c>
      <c r="R111" s="4">
        <v>2.2</v>
      </c>
      <c r="S111" s="4">
        <v>19.7</v>
      </c>
      <c r="T111" s="4">
        <v>7.3</v>
      </c>
      <c r="U111" s="4">
        <v>63.2</v>
      </c>
      <c r="V111" s="4">
        <v>0.3</v>
      </c>
      <c r="W111" s="4">
        <v>0.5</v>
      </c>
      <c r="X111" s="4">
        <v>0.8</v>
      </c>
    </row>
    <row r="112" ht="15.75" customHeight="1">
      <c r="A112" s="7" t="s">
        <v>53</v>
      </c>
      <c r="B112" s="4">
        <v>12.0</v>
      </c>
      <c r="C112" s="4">
        <v>22.3</v>
      </c>
      <c r="D112" s="4">
        <v>23.8</v>
      </c>
      <c r="E112" s="4">
        <v>40.0</v>
      </c>
      <c r="F112" s="4">
        <v>59.6</v>
      </c>
      <c r="G112" s="4">
        <v>268.2</v>
      </c>
      <c r="H112" s="4">
        <v>2.1</v>
      </c>
      <c r="I112" s="4">
        <v>28.3</v>
      </c>
      <c r="J112" s="4">
        <v>97.7</v>
      </c>
      <c r="K112" s="4">
        <v>3.4</v>
      </c>
      <c r="L112" s="4">
        <v>0.6</v>
      </c>
      <c r="M112" s="4">
        <v>68.3</v>
      </c>
      <c r="N112" s="4">
        <v>365.8</v>
      </c>
      <c r="O112" s="4">
        <v>5.4</v>
      </c>
      <c r="P112" s="4">
        <v>12.5</v>
      </c>
      <c r="Q112" s="4">
        <v>5.9</v>
      </c>
      <c r="R112" s="4">
        <v>2.3</v>
      </c>
      <c r="S112" s="4">
        <v>20.8</v>
      </c>
      <c r="T112" s="4">
        <v>8.0</v>
      </c>
      <c r="U112" s="4">
        <v>70.3</v>
      </c>
      <c r="V112" s="4">
        <v>0.3</v>
      </c>
      <c r="W112" s="4">
        <v>1.3</v>
      </c>
      <c r="X112" s="4">
        <v>1.6</v>
      </c>
    </row>
    <row r="113" ht="15.75" customHeight="1">
      <c r="A113" s="7" t="s">
        <v>207</v>
      </c>
      <c r="B113" s="4">
        <v>12.0</v>
      </c>
      <c r="C113" s="4">
        <v>22.2</v>
      </c>
      <c r="D113" s="4">
        <v>24.4</v>
      </c>
      <c r="E113" s="4">
        <v>39.8</v>
      </c>
      <c r="F113" s="4">
        <v>61.3</v>
      </c>
      <c r="G113" s="4">
        <v>239.0</v>
      </c>
      <c r="H113" s="4">
        <v>1.4</v>
      </c>
      <c r="I113" s="4">
        <v>25.1</v>
      </c>
      <c r="J113" s="4">
        <v>113.9</v>
      </c>
      <c r="K113" s="4">
        <v>4.5</v>
      </c>
      <c r="L113" s="4">
        <v>1.2</v>
      </c>
      <c r="M113" s="4">
        <v>64.9</v>
      </c>
      <c r="N113" s="4">
        <v>352.9</v>
      </c>
      <c r="O113" s="4">
        <v>5.4</v>
      </c>
      <c r="P113" s="4">
        <v>10.4</v>
      </c>
      <c r="Q113" s="4">
        <v>6.2</v>
      </c>
      <c r="R113" s="4">
        <v>1.8</v>
      </c>
      <c r="S113" s="4">
        <v>18.3</v>
      </c>
      <c r="T113" s="4">
        <v>7.1</v>
      </c>
      <c r="U113" s="4">
        <v>57.4</v>
      </c>
      <c r="V113" s="4">
        <v>0.8</v>
      </c>
      <c r="W113" s="4">
        <v>1.1</v>
      </c>
      <c r="X113" s="4">
        <v>1.8</v>
      </c>
    </row>
    <row r="114" ht="15.75" customHeight="1">
      <c r="A114" s="7" t="s">
        <v>167</v>
      </c>
      <c r="B114" s="4">
        <v>13.0</v>
      </c>
      <c r="C114" s="4">
        <v>22.0</v>
      </c>
      <c r="D114" s="4">
        <v>14.6</v>
      </c>
      <c r="E114" s="4">
        <v>23.7</v>
      </c>
      <c r="F114" s="4">
        <v>61.7</v>
      </c>
      <c r="G114" s="4">
        <v>129.1</v>
      </c>
      <c r="H114" s="4">
        <v>0.9</v>
      </c>
      <c r="I114" s="4">
        <v>37.4</v>
      </c>
      <c r="J114" s="4">
        <v>157.2</v>
      </c>
      <c r="K114" s="4">
        <v>4.2</v>
      </c>
      <c r="L114" s="4">
        <v>1.4</v>
      </c>
      <c r="M114" s="4">
        <v>61.1</v>
      </c>
      <c r="N114" s="4">
        <v>286.2</v>
      </c>
      <c r="O114" s="4">
        <v>4.7</v>
      </c>
      <c r="P114" s="4">
        <v>6.6</v>
      </c>
      <c r="Q114" s="4">
        <v>8.5</v>
      </c>
      <c r="R114" s="4">
        <v>1.1</v>
      </c>
      <c r="S114" s="4">
        <v>16.2</v>
      </c>
      <c r="T114" s="4">
        <v>4.0</v>
      </c>
      <c r="U114" s="4">
        <v>39.5</v>
      </c>
      <c r="V114" s="4">
        <v>0.5</v>
      </c>
      <c r="W114" s="4">
        <v>1.0</v>
      </c>
      <c r="X114" s="4">
        <v>1.5</v>
      </c>
    </row>
    <row r="115" ht="15.75" customHeight="1">
      <c r="A115" s="7" t="s">
        <v>115</v>
      </c>
      <c r="B115" s="4">
        <v>12.0</v>
      </c>
      <c r="C115" s="4">
        <v>21.8</v>
      </c>
      <c r="D115" s="4">
        <v>21.8</v>
      </c>
      <c r="E115" s="4">
        <v>36.4</v>
      </c>
      <c r="F115" s="4">
        <v>60.0</v>
      </c>
      <c r="G115" s="4">
        <v>247.9</v>
      </c>
      <c r="H115" s="4">
        <v>1.5</v>
      </c>
      <c r="I115" s="4">
        <v>27.9</v>
      </c>
      <c r="J115" s="4">
        <v>106.6</v>
      </c>
      <c r="K115" s="4">
        <v>3.8</v>
      </c>
      <c r="L115" s="4">
        <v>0.9</v>
      </c>
      <c r="M115" s="4">
        <v>64.3</v>
      </c>
      <c r="N115" s="4">
        <v>354.5</v>
      </c>
      <c r="O115" s="4">
        <v>5.5</v>
      </c>
      <c r="P115" s="4">
        <v>10.8</v>
      </c>
      <c r="Q115" s="4">
        <v>6.2</v>
      </c>
      <c r="R115" s="4">
        <v>1.5</v>
      </c>
      <c r="S115" s="4">
        <v>18.5</v>
      </c>
      <c r="T115" s="4">
        <v>6.5</v>
      </c>
      <c r="U115" s="4">
        <v>57.6</v>
      </c>
      <c r="V115" s="4">
        <v>0.6</v>
      </c>
      <c r="W115" s="4">
        <v>1.1</v>
      </c>
      <c r="X115" s="4">
        <v>1.7</v>
      </c>
    </row>
    <row r="116" ht="15.75" customHeight="1">
      <c r="A116" s="7" t="s">
        <v>182</v>
      </c>
      <c r="B116" s="4">
        <v>12.0</v>
      </c>
      <c r="C116" s="4">
        <v>21.6</v>
      </c>
      <c r="D116" s="4">
        <v>11.8</v>
      </c>
      <c r="E116" s="4">
        <v>26.7</v>
      </c>
      <c r="F116" s="4">
        <v>44.1</v>
      </c>
      <c r="G116" s="4">
        <v>143.2</v>
      </c>
      <c r="H116" s="4">
        <v>1.0</v>
      </c>
      <c r="I116" s="4">
        <v>41.3</v>
      </c>
      <c r="J116" s="4">
        <v>180.0</v>
      </c>
      <c r="K116" s="4">
        <v>4.4</v>
      </c>
      <c r="L116" s="4">
        <v>1.3</v>
      </c>
      <c r="M116" s="4">
        <v>67.9</v>
      </c>
      <c r="N116" s="4">
        <v>323.2</v>
      </c>
      <c r="O116" s="4">
        <v>4.8</v>
      </c>
      <c r="P116" s="4">
        <v>7.3</v>
      </c>
      <c r="Q116" s="4">
        <v>9.3</v>
      </c>
      <c r="R116" s="4">
        <v>2.8</v>
      </c>
      <c r="S116" s="4">
        <v>19.3</v>
      </c>
      <c r="T116" s="4">
        <v>5.4</v>
      </c>
      <c r="U116" s="4">
        <v>48.1</v>
      </c>
      <c r="V116" s="4">
        <v>0.9</v>
      </c>
      <c r="W116" s="4">
        <v>1.0</v>
      </c>
      <c r="X116" s="4">
        <v>1.9</v>
      </c>
    </row>
    <row r="117" ht="15.75" customHeight="1">
      <c r="A117" s="7" t="s">
        <v>208</v>
      </c>
      <c r="B117" s="4">
        <v>12.0</v>
      </c>
      <c r="C117" s="4">
        <v>21.3</v>
      </c>
      <c r="D117" s="4">
        <v>19.5</v>
      </c>
      <c r="E117" s="4">
        <v>31.3</v>
      </c>
      <c r="F117" s="4">
        <v>62.4</v>
      </c>
      <c r="G117" s="4">
        <v>205.7</v>
      </c>
      <c r="H117" s="4">
        <v>1.3</v>
      </c>
      <c r="I117" s="4">
        <v>35.3</v>
      </c>
      <c r="J117" s="4">
        <v>128.9</v>
      </c>
      <c r="K117" s="4">
        <v>3.6</v>
      </c>
      <c r="L117" s="4">
        <v>1.1</v>
      </c>
      <c r="M117" s="4">
        <v>66.6</v>
      </c>
      <c r="N117" s="4">
        <v>334.6</v>
      </c>
      <c r="O117" s="4">
        <v>5.0</v>
      </c>
      <c r="P117" s="4">
        <v>9.5</v>
      </c>
      <c r="Q117" s="4">
        <v>6.9</v>
      </c>
      <c r="R117" s="4">
        <v>2.1</v>
      </c>
      <c r="S117" s="4">
        <v>18.5</v>
      </c>
      <c r="T117" s="4">
        <v>9.1</v>
      </c>
      <c r="U117" s="4">
        <v>81.8</v>
      </c>
      <c r="V117" s="4">
        <v>0.1</v>
      </c>
      <c r="W117" s="4">
        <v>0.7</v>
      </c>
      <c r="X117" s="4">
        <v>0.8</v>
      </c>
    </row>
    <row r="118" ht="15.75" customHeight="1">
      <c r="A118" s="7" t="s">
        <v>75</v>
      </c>
      <c r="B118" s="4">
        <v>12.0</v>
      </c>
      <c r="C118" s="4">
        <v>21.0</v>
      </c>
      <c r="D118" s="4">
        <v>11.2</v>
      </c>
      <c r="E118" s="4">
        <v>20.5</v>
      </c>
      <c r="F118" s="4">
        <v>54.5</v>
      </c>
      <c r="G118" s="4">
        <v>134.8</v>
      </c>
      <c r="H118" s="4">
        <v>0.9</v>
      </c>
      <c r="I118" s="4">
        <v>38.0</v>
      </c>
      <c r="J118" s="4">
        <v>169.7</v>
      </c>
      <c r="K118" s="4">
        <v>4.5</v>
      </c>
      <c r="L118" s="4">
        <v>1.4</v>
      </c>
      <c r="M118" s="4">
        <v>58.5</v>
      </c>
      <c r="N118" s="4">
        <v>304.4</v>
      </c>
      <c r="O118" s="4">
        <v>5.2</v>
      </c>
      <c r="P118" s="4">
        <v>5.6</v>
      </c>
      <c r="Q118" s="4">
        <v>8.3</v>
      </c>
      <c r="R118" s="4">
        <v>1.6</v>
      </c>
      <c r="S118" s="4">
        <v>15.4</v>
      </c>
      <c r="T118" s="4">
        <v>5.9</v>
      </c>
      <c r="U118" s="4">
        <v>43.3</v>
      </c>
      <c r="V118" s="4">
        <v>0.3</v>
      </c>
      <c r="W118" s="4">
        <v>1.0</v>
      </c>
      <c r="X118" s="4">
        <v>1.3</v>
      </c>
    </row>
    <row r="119" ht="15.75" customHeight="1">
      <c r="A119" s="7" t="s">
        <v>155</v>
      </c>
      <c r="B119" s="4">
        <v>13.0</v>
      </c>
      <c r="C119" s="4">
        <v>20.9</v>
      </c>
      <c r="D119" s="4">
        <v>19.7</v>
      </c>
      <c r="E119" s="4">
        <v>31.8</v>
      </c>
      <c r="F119" s="4">
        <v>62.0</v>
      </c>
      <c r="G119" s="4">
        <v>223.7</v>
      </c>
      <c r="H119" s="4">
        <v>1.4</v>
      </c>
      <c r="I119" s="4">
        <v>37.2</v>
      </c>
      <c r="J119" s="4">
        <v>109.2</v>
      </c>
      <c r="K119" s="4">
        <v>2.9</v>
      </c>
      <c r="L119" s="4">
        <v>1.1</v>
      </c>
      <c r="M119" s="4">
        <v>69.0</v>
      </c>
      <c r="N119" s="4">
        <v>332.9</v>
      </c>
      <c r="O119" s="4">
        <v>4.8</v>
      </c>
      <c r="P119" s="4">
        <v>9.7</v>
      </c>
      <c r="Q119" s="4">
        <v>7.2</v>
      </c>
      <c r="R119" s="4">
        <v>1.1</v>
      </c>
      <c r="S119" s="4">
        <v>17.9</v>
      </c>
      <c r="T119" s="4">
        <v>5.3</v>
      </c>
      <c r="U119" s="4">
        <v>50.6</v>
      </c>
      <c r="V119" s="4">
        <v>1.1</v>
      </c>
      <c r="W119" s="4">
        <v>0.6</v>
      </c>
      <c r="X119" s="4">
        <v>1.7</v>
      </c>
    </row>
    <row r="120" ht="15.75" customHeight="1">
      <c r="A120" s="7" t="s">
        <v>149</v>
      </c>
      <c r="B120" s="4">
        <v>12.0</v>
      </c>
      <c r="C120" s="4">
        <v>20.6</v>
      </c>
      <c r="D120" s="4">
        <v>13.9</v>
      </c>
      <c r="E120" s="4">
        <v>26.0</v>
      </c>
      <c r="F120" s="4">
        <v>53.5</v>
      </c>
      <c r="G120" s="4">
        <v>184.8</v>
      </c>
      <c r="H120" s="4">
        <v>1.3</v>
      </c>
      <c r="I120" s="4">
        <v>36.9</v>
      </c>
      <c r="J120" s="4">
        <v>145.6</v>
      </c>
      <c r="K120" s="4">
        <v>3.9</v>
      </c>
      <c r="L120" s="4">
        <v>0.9</v>
      </c>
      <c r="M120" s="4">
        <v>62.9</v>
      </c>
      <c r="N120" s="4">
        <v>330.4</v>
      </c>
      <c r="O120" s="4">
        <v>5.3</v>
      </c>
      <c r="P120" s="4">
        <v>7.6</v>
      </c>
      <c r="Q120" s="4">
        <v>9.6</v>
      </c>
      <c r="R120" s="4">
        <v>2.3</v>
      </c>
      <c r="S120" s="4">
        <v>19.4</v>
      </c>
      <c r="T120" s="4">
        <v>6.3</v>
      </c>
      <c r="U120" s="4">
        <v>52.1</v>
      </c>
      <c r="V120" s="4">
        <v>0.5</v>
      </c>
      <c r="W120" s="4">
        <v>1.4</v>
      </c>
      <c r="X120" s="4">
        <v>1.9</v>
      </c>
    </row>
    <row r="121" ht="15.75" customHeight="1">
      <c r="A121" s="7" t="s">
        <v>193</v>
      </c>
      <c r="B121" s="4">
        <v>12.0</v>
      </c>
      <c r="C121" s="4">
        <v>20.4</v>
      </c>
      <c r="D121" s="4">
        <v>19.5</v>
      </c>
      <c r="E121" s="4">
        <v>34.9</v>
      </c>
      <c r="F121" s="4">
        <v>55.8</v>
      </c>
      <c r="G121" s="4">
        <v>232.4</v>
      </c>
      <c r="H121" s="4">
        <v>1.3</v>
      </c>
      <c r="I121" s="4">
        <v>28.8</v>
      </c>
      <c r="J121" s="4">
        <v>100.3</v>
      </c>
      <c r="K121" s="4">
        <v>3.5</v>
      </c>
      <c r="L121" s="4">
        <v>0.9</v>
      </c>
      <c r="M121" s="4">
        <v>63.8</v>
      </c>
      <c r="N121" s="4">
        <v>332.8</v>
      </c>
      <c r="O121" s="4">
        <v>5.2</v>
      </c>
      <c r="P121" s="4">
        <v>9.8</v>
      </c>
      <c r="Q121" s="4">
        <v>6.2</v>
      </c>
      <c r="R121" s="4">
        <v>2.1</v>
      </c>
      <c r="S121" s="4">
        <v>18.0</v>
      </c>
      <c r="T121" s="4">
        <v>6.3</v>
      </c>
      <c r="U121" s="4">
        <v>48.7</v>
      </c>
      <c r="V121" s="4">
        <v>0.8</v>
      </c>
      <c r="W121" s="4">
        <v>0.8</v>
      </c>
      <c r="X121" s="4">
        <v>1.7</v>
      </c>
    </row>
    <row r="122" ht="15.75" customHeight="1">
      <c r="A122" s="7" t="s">
        <v>104</v>
      </c>
      <c r="B122" s="4">
        <v>12.0</v>
      </c>
      <c r="C122" s="4">
        <v>19.6</v>
      </c>
      <c r="D122" s="4">
        <v>20.2</v>
      </c>
      <c r="E122" s="4">
        <v>34.3</v>
      </c>
      <c r="F122" s="4">
        <v>58.9</v>
      </c>
      <c r="G122" s="4">
        <v>216.0</v>
      </c>
      <c r="H122" s="4">
        <v>1.3</v>
      </c>
      <c r="I122" s="4">
        <v>32.2</v>
      </c>
      <c r="J122" s="4">
        <v>92.8</v>
      </c>
      <c r="K122" s="4">
        <v>2.9</v>
      </c>
      <c r="L122" s="4">
        <v>0.8</v>
      </c>
      <c r="M122" s="4">
        <v>66.4</v>
      </c>
      <c r="N122" s="4">
        <v>308.8</v>
      </c>
      <c r="O122" s="4">
        <v>4.6</v>
      </c>
      <c r="P122" s="4">
        <v>9.7</v>
      </c>
      <c r="Q122" s="4">
        <v>4.6</v>
      </c>
      <c r="R122" s="4">
        <v>1.3</v>
      </c>
      <c r="S122" s="4">
        <v>15.6</v>
      </c>
      <c r="T122" s="4">
        <v>5.6</v>
      </c>
      <c r="U122" s="4">
        <v>45.1</v>
      </c>
      <c r="V122" s="4">
        <v>0.9</v>
      </c>
      <c r="W122" s="4">
        <v>1.2</v>
      </c>
      <c r="X122" s="4">
        <v>2.1</v>
      </c>
    </row>
    <row r="123" ht="15.75" customHeight="1">
      <c r="A123" s="7" t="s">
        <v>329</v>
      </c>
      <c r="B123" s="4">
        <v>12.0</v>
      </c>
      <c r="C123" s="4">
        <v>19.5</v>
      </c>
      <c r="D123" s="4">
        <v>18.6</v>
      </c>
      <c r="E123" s="4">
        <v>30.4</v>
      </c>
      <c r="F123" s="4">
        <v>61.1</v>
      </c>
      <c r="G123" s="4">
        <v>200.0</v>
      </c>
      <c r="H123" s="4">
        <v>1.3</v>
      </c>
      <c r="I123" s="4">
        <v>36.5</v>
      </c>
      <c r="J123" s="4">
        <v>120.8</v>
      </c>
      <c r="K123" s="4">
        <v>3.3</v>
      </c>
      <c r="L123" s="4">
        <v>0.8</v>
      </c>
      <c r="M123" s="4">
        <v>66.9</v>
      </c>
      <c r="N123" s="4">
        <v>320.8</v>
      </c>
      <c r="O123" s="4">
        <v>4.8</v>
      </c>
      <c r="P123" s="4">
        <v>7.9</v>
      </c>
      <c r="Q123" s="4">
        <v>7.2</v>
      </c>
      <c r="R123" s="4">
        <v>1.6</v>
      </c>
      <c r="S123" s="4">
        <v>16.7</v>
      </c>
      <c r="T123" s="4">
        <v>5.7</v>
      </c>
      <c r="U123" s="4">
        <v>50.9</v>
      </c>
      <c r="V123" s="4">
        <v>0.6</v>
      </c>
      <c r="W123" s="4">
        <v>1.0</v>
      </c>
      <c r="X123" s="4">
        <v>1.6</v>
      </c>
    </row>
    <row r="124" ht="15.75" customHeight="1">
      <c r="A124" s="7" t="s">
        <v>101</v>
      </c>
      <c r="B124" s="4">
        <v>12.0</v>
      </c>
      <c r="C124" s="4">
        <v>19.3</v>
      </c>
      <c r="D124" s="4">
        <v>17.7</v>
      </c>
      <c r="E124" s="4">
        <v>29.4</v>
      </c>
      <c r="F124" s="4">
        <v>60.1</v>
      </c>
      <c r="G124" s="4">
        <v>218.1</v>
      </c>
      <c r="H124" s="4">
        <v>1.1</v>
      </c>
      <c r="I124" s="4">
        <v>32.8</v>
      </c>
      <c r="J124" s="4">
        <v>116.3</v>
      </c>
      <c r="K124" s="4">
        <v>3.6</v>
      </c>
      <c r="L124" s="4">
        <v>0.9</v>
      </c>
      <c r="M124" s="4">
        <v>62.2</v>
      </c>
      <c r="N124" s="4">
        <v>334.4</v>
      </c>
      <c r="O124" s="4">
        <v>5.4</v>
      </c>
      <c r="P124" s="4">
        <v>9.2</v>
      </c>
      <c r="Q124" s="4">
        <v>8.3</v>
      </c>
      <c r="R124" s="4">
        <v>1.4</v>
      </c>
      <c r="S124" s="4">
        <v>18.8</v>
      </c>
      <c r="T124" s="4">
        <v>6.7</v>
      </c>
      <c r="U124" s="4">
        <v>63.3</v>
      </c>
      <c r="V124" s="4">
        <v>0.6</v>
      </c>
      <c r="W124" s="4">
        <v>1.0</v>
      </c>
      <c r="X124" s="4">
        <v>1.6</v>
      </c>
    </row>
    <row r="125" ht="15.75" customHeight="1">
      <c r="A125" s="7" t="s">
        <v>117</v>
      </c>
      <c r="B125" s="4">
        <v>12.0</v>
      </c>
      <c r="C125" s="4">
        <v>19.3</v>
      </c>
      <c r="D125" s="4">
        <v>15.1</v>
      </c>
      <c r="E125" s="4">
        <v>28.9</v>
      </c>
      <c r="F125" s="4">
        <v>52.2</v>
      </c>
      <c r="G125" s="4">
        <v>189.4</v>
      </c>
      <c r="H125" s="4">
        <v>0.9</v>
      </c>
      <c r="I125" s="4">
        <v>38.3</v>
      </c>
      <c r="J125" s="4">
        <v>137.8</v>
      </c>
      <c r="K125" s="4">
        <v>3.6</v>
      </c>
      <c r="L125" s="4">
        <v>1.2</v>
      </c>
      <c r="M125" s="4">
        <v>67.3</v>
      </c>
      <c r="N125" s="4">
        <v>327.3</v>
      </c>
      <c r="O125" s="4">
        <v>4.9</v>
      </c>
      <c r="P125" s="4">
        <v>8.1</v>
      </c>
      <c r="Q125" s="4">
        <v>7.2</v>
      </c>
      <c r="R125" s="4">
        <v>2.1</v>
      </c>
      <c r="S125" s="4">
        <v>17.3</v>
      </c>
      <c r="T125" s="4">
        <v>5.5</v>
      </c>
      <c r="U125" s="4">
        <v>49.8</v>
      </c>
      <c r="V125" s="4">
        <v>0.4</v>
      </c>
      <c r="W125" s="4">
        <v>0.9</v>
      </c>
      <c r="X125" s="4">
        <v>1.3</v>
      </c>
    </row>
    <row r="126" ht="15.75" customHeight="1">
      <c r="A126" s="7" t="s">
        <v>109</v>
      </c>
      <c r="B126" s="4">
        <v>12.0</v>
      </c>
      <c r="C126" s="4">
        <v>18.9</v>
      </c>
      <c r="D126" s="4">
        <v>5.2</v>
      </c>
      <c r="E126" s="4">
        <v>11.5</v>
      </c>
      <c r="F126" s="4">
        <v>44.9</v>
      </c>
      <c r="G126" s="4">
        <v>89.8</v>
      </c>
      <c r="H126" s="4">
        <v>0.4</v>
      </c>
      <c r="I126" s="4">
        <v>56.1</v>
      </c>
      <c r="J126" s="4">
        <v>224.0</v>
      </c>
      <c r="K126" s="4">
        <v>4.0</v>
      </c>
      <c r="L126" s="4">
        <v>2.0</v>
      </c>
      <c r="M126" s="4">
        <v>67.6</v>
      </c>
      <c r="N126" s="4">
        <v>313.8</v>
      </c>
      <c r="O126" s="4">
        <v>4.6</v>
      </c>
      <c r="P126" s="4">
        <v>3.3</v>
      </c>
      <c r="Q126" s="4">
        <v>13.3</v>
      </c>
      <c r="R126" s="4">
        <v>1.4</v>
      </c>
      <c r="S126" s="4">
        <v>18.0</v>
      </c>
      <c r="T126" s="4">
        <v>3.2</v>
      </c>
      <c r="U126" s="4">
        <v>28.8</v>
      </c>
      <c r="V126" s="4">
        <v>0.4</v>
      </c>
      <c r="W126" s="4">
        <v>0.8</v>
      </c>
      <c r="X126" s="4">
        <v>1.3</v>
      </c>
    </row>
    <row r="127" ht="15.75" customHeight="1">
      <c r="A127" s="7" t="s">
        <v>227</v>
      </c>
      <c r="B127" s="4">
        <v>12.0</v>
      </c>
      <c r="C127" s="4">
        <v>18.4</v>
      </c>
      <c r="D127" s="4">
        <v>21.6</v>
      </c>
      <c r="E127" s="4">
        <v>33.2</v>
      </c>
      <c r="F127" s="4">
        <v>65.1</v>
      </c>
      <c r="G127" s="4">
        <v>242.2</v>
      </c>
      <c r="H127" s="4">
        <v>1.4</v>
      </c>
      <c r="I127" s="4">
        <v>28.2</v>
      </c>
      <c r="J127" s="4">
        <v>86.6</v>
      </c>
      <c r="K127" s="4">
        <v>3.1</v>
      </c>
      <c r="L127" s="4">
        <v>0.3</v>
      </c>
      <c r="M127" s="4">
        <v>61.3</v>
      </c>
      <c r="N127" s="4">
        <v>328.8</v>
      </c>
      <c r="O127" s="4">
        <v>5.4</v>
      </c>
      <c r="P127" s="4">
        <v>11.3</v>
      </c>
      <c r="Q127" s="4">
        <v>5.2</v>
      </c>
      <c r="R127" s="4">
        <v>1.5</v>
      </c>
      <c r="S127" s="4">
        <v>18.0</v>
      </c>
      <c r="T127" s="4">
        <v>8.2</v>
      </c>
      <c r="U127" s="4">
        <v>68.9</v>
      </c>
      <c r="V127" s="4">
        <v>0.5</v>
      </c>
      <c r="W127" s="4">
        <v>0.9</v>
      </c>
      <c r="X127" s="4">
        <v>1.4</v>
      </c>
    </row>
    <row r="128" ht="15.75" customHeight="1">
      <c r="A128" s="7" t="s">
        <v>169</v>
      </c>
      <c r="B128" s="4">
        <v>12.0</v>
      </c>
      <c r="C128" s="4">
        <v>18.1</v>
      </c>
      <c r="D128" s="4">
        <v>22.8</v>
      </c>
      <c r="E128" s="4">
        <v>35.7</v>
      </c>
      <c r="F128" s="4">
        <v>63.8</v>
      </c>
      <c r="G128" s="4">
        <v>261.1</v>
      </c>
      <c r="H128" s="4">
        <v>1.3</v>
      </c>
      <c r="I128" s="4">
        <v>27.9</v>
      </c>
      <c r="J128" s="4">
        <v>89.0</v>
      </c>
      <c r="K128" s="4">
        <v>3.2</v>
      </c>
      <c r="L128" s="4">
        <v>0.8</v>
      </c>
      <c r="M128" s="4">
        <v>63.6</v>
      </c>
      <c r="N128" s="4">
        <v>350.1</v>
      </c>
      <c r="O128" s="4">
        <v>5.5</v>
      </c>
      <c r="P128" s="4">
        <v>11.4</v>
      </c>
      <c r="Q128" s="4">
        <v>4.8</v>
      </c>
      <c r="R128" s="4">
        <v>2.0</v>
      </c>
      <c r="S128" s="4">
        <v>18.2</v>
      </c>
      <c r="T128" s="4">
        <v>7.3</v>
      </c>
      <c r="U128" s="4">
        <v>61.3</v>
      </c>
      <c r="V128" s="4">
        <v>0.8</v>
      </c>
      <c r="W128" s="4">
        <v>0.8</v>
      </c>
      <c r="X128" s="4">
        <v>1.6</v>
      </c>
    </row>
    <row r="129" ht="15.75" customHeight="1">
      <c r="A129" s="7" t="s">
        <v>188</v>
      </c>
      <c r="B129" s="4">
        <v>12.0</v>
      </c>
      <c r="C129" s="4">
        <v>17.8</v>
      </c>
      <c r="D129" s="4">
        <v>17.5</v>
      </c>
      <c r="E129" s="4">
        <v>32.6</v>
      </c>
      <c r="F129" s="4">
        <v>53.7</v>
      </c>
      <c r="G129" s="4">
        <v>185.9</v>
      </c>
      <c r="H129" s="4">
        <v>0.6</v>
      </c>
      <c r="I129" s="4">
        <v>29.6</v>
      </c>
      <c r="J129" s="4">
        <v>98.5</v>
      </c>
      <c r="K129" s="4">
        <v>3.3</v>
      </c>
      <c r="L129" s="4">
        <v>1.0</v>
      </c>
      <c r="M129" s="4">
        <v>62.2</v>
      </c>
      <c r="N129" s="4">
        <v>284.4</v>
      </c>
      <c r="O129" s="4">
        <v>4.6</v>
      </c>
      <c r="P129" s="4">
        <v>8.3</v>
      </c>
      <c r="Q129" s="4">
        <v>6.3</v>
      </c>
      <c r="R129" s="4">
        <v>1.3</v>
      </c>
      <c r="S129" s="4">
        <v>16.0</v>
      </c>
      <c r="T129" s="4">
        <v>4.8</v>
      </c>
      <c r="U129" s="4">
        <v>38.3</v>
      </c>
      <c r="V129" s="4">
        <v>0.6</v>
      </c>
      <c r="W129" s="4">
        <v>0.9</v>
      </c>
      <c r="X129" s="4">
        <v>1.5</v>
      </c>
    </row>
    <row r="130" ht="15.75" customHeight="1">
      <c r="A130" s="7" t="s">
        <v>226</v>
      </c>
      <c r="B130" s="4">
        <v>12.0</v>
      </c>
      <c r="C130" s="4">
        <v>16.5</v>
      </c>
      <c r="D130" s="4">
        <v>13.0</v>
      </c>
      <c r="E130" s="4">
        <v>24.8</v>
      </c>
      <c r="F130" s="4">
        <v>52.5</v>
      </c>
      <c r="G130" s="4">
        <v>136.3</v>
      </c>
      <c r="H130" s="4">
        <v>0.5</v>
      </c>
      <c r="I130" s="4">
        <v>37.7</v>
      </c>
      <c r="J130" s="4">
        <v>114.6</v>
      </c>
      <c r="K130" s="4">
        <v>3.0</v>
      </c>
      <c r="L130" s="4">
        <v>1.1</v>
      </c>
      <c r="M130" s="4">
        <v>62.4</v>
      </c>
      <c r="N130" s="4">
        <v>250.9</v>
      </c>
      <c r="O130" s="4">
        <v>4.0</v>
      </c>
      <c r="P130" s="4">
        <v>5.8</v>
      </c>
      <c r="Q130" s="4">
        <v>6.6</v>
      </c>
      <c r="R130" s="4">
        <v>1.3</v>
      </c>
      <c r="S130" s="4">
        <v>13.7</v>
      </c>
      <c r="T130" s="4">
        <v>5.6</v>
      </c>
      <c r="U130" s="4">
        <v>46.3</v>
      </c>
      <c r="V130" s="4">
        <v>0.3</v>
      </c>
      <c r="W130" s="4">
        <v>1.2</v>
      </c>
      <c r="X130" s="4">
        <v>1.5</v>
      </c>
    </row>
    <row r="131" ht="15.75" customHeight="1">
      <c r="A131" s="7" t="s">
        <v>204</v>
      </c>
      <c r="B131" s="4">
        <v>12.0</v>
      </c>
      <c r="C131" s="4">
        <v>15.8</v>
      </c>
      <c r="D131" s="4">
        <v>15.8</v>
      </c>
      <c r="E131" s="4">
        <v>27.4</v>
      </c>
      <c r="F131" s="4">
        <v>57.4</v>
      </c>
      <c r="G131" s="4">
        <v>183.9</v>
      </c>
      <c r="H131" s="4">
        <v>1.1</v>
      </c>
      <c r="I131" s="4">
        <v>28.9</v>
      </c>
      <c r="J131" s="4">
        <v>115.3</v>
      </c>
      <c r="K131" s="4">
        <v>4.0</v>
      </c>
      <c r="L131" s="4">
        <v>0.8</v>
      </c>
      <c r="M131" s="4">
        <v>56.3</v>
      </c>
      <c r="N131" s="4">
        <v>299.3</v>
      </c>
      <c r="O131" s="4">
        <v>5.3</v>
      </c>
      <c r="P131" s="4">
        <v>8.3</v>
      </c>
      <c r="Q131" s="4">
        <v>5.4</v>
      </c>
      <c r="R131" s="4">
        <v>0.9</v>
      </c>
      <c r="S131" s="4">
        <v>14.6</v>
      </c>
      <c r="T131" s="4">
        <v>5.5</v>
      </c>
      <c r="U131" s="4">
        <v>51.8</v>
      </c>
      <c r="V131" s="4">
        <v>0.8</v>
      </c>
      <c r="W131" s="4">
        <v>0.8</v>
      </c>
      <c r="X131" s="4">
        <v>1.6</v>
      </c>
    </row>
    <row r="132" ht="15.75" customHeight="1">
      <c r="A132" s="7" t="s">
        <v>48</v>
      </c>
      <c r="B132" s="4">
        <v>12.0</v>
      </c>
      <c r="C132" s="4">
        <v>15.4</v>
      </c>
      <c r="D132" s="4">
        <v>14.9</v>
      </c>
      <c r="E132" s="4">
        <v>29.6</v>
      </c>
      <c r="F132" s="4">
        <v>50.4</v>
      </c>
      <c r="G132" s="4">
        <v>180.3</v>
      </c>
      <c r="H132" s="4">
        <v>0.9</v>
      </c>
      <c r="I132" s="4">
        <v>31.5</v>
      </c>
      <c r="J132" s="4">
        <v>89.9</v>
      </c>
      <c r="K132" s="4">
        <v>2.9</v>
      </c>
      <c r="L132" s="4">
        <v>0.7</v>
      </c>
      <c r="M132" s="4">
        <v>61.1</v>
      </c>
      <c r="N132" s="4">
        <v>270.3</v>
      </c>
      <c r="O132" s="4">
        <v>4.4</v>
      </c>
      <c r="P132" s="4">
        <v>8.6</v>
      </c>
      <c r="Q132" s="4">
        <v>5.3</v>
      </c>
      <c r="R132" s="4">
        <v>1.3</v>
      </c>
      <c r="S132" s="4">
        <v>15.2</v>
      </c>
      <c r="T132" s="4">
        <v>5.6</v>
      </c>
      <c r="U132" s="4">
        <v>47.9</v>
      </c>
      <c r="V132" s="4">
        <v>0.8</v>
      </c>
      <c r="W132" s="4">
        <v>1.1</v>
      </c>
      <c r="X132" s="4">
        <v>1.8</v>
      </c>
    </row>
    <row r="133" ht="15.75" customHeight="1">
      <c r="A133" s="7" t="s">
        <v>150</v>
      </c>
      <c r="B133" s="4">
        <v>12.0</v>
      </c>
      <c r="C133" s="4">
        <v>15.3</v>
      </c>
      <c r="D133" s="4">
        <v>13.8</v>
      </c>
      <c r="E133" s="4">
        <v>26.4</v>
      </c>
      <c r="F133" s="4">
        <v>52.4</v>
      </c>
      <c r="G133" s="4">
        <v>174.9</v>
      </c>
      <c r="H133" s="4">
        <v>0.6</v>
      </c>
      <c r="I133" s="4">
        <v>34.3</v>
      </c>
      <c r="J133" s="4">
        <v>108.6</v>
      </c>
      <c r="K133" s="4">
        <v>3.2</v>
      </c>
      <c r="L133" s="4">
        <v>1.1</v>
      </c>
      <c r="M133" s="4">
        <v>60.8</v>
      </c>
      <c r="N133" s="4">
        <v>283.5</v>
      </c>
      <c r="O133" s="4">
        <v>4.7</v>
      </c>
      <c r="P133" s="4">
        <v>6.3</v>
      </c>
      <c r="Q133" s="4">
        <v>7.0</v>
      </c>
      <c r="R133" s="4">
        <v>2.2</v>
      </c>
      <c r="S133" s="4">
        <v>15.4</v>
      </c>
      <c r="T133" s="4">
        <v>6.0</v>
      </c>
      <c r="U133" s="4">
        <v>48.3</v>
      </c>
      <c r="V133" s="4">
        <v>1.0</v>
      </c>
      <c r="W133" s="4">
        <v>1.4</v>
      </c>
      <c r="X133" s="4">
        <v>2.4</v>
      </c>
    </row>
    <row r="134" ht="15.75" customHeight="1">
      <c r="A134" s="7" t="s">
        <v>181</v>
      </c>
      <c r="B134" s="4">
        <v>12.0</v>
      </c>
      <c r="C134" s="4">
        <v>14.0</v>
      </c>
      <c r="D134" s="4">
        <v>15.2</v>
      </c>
      <c r="E134" s="4">
        <v>23.3</v>
      </c>
      <c r="F134" s="4">
        <v>65.0</v>
      </c>
      <c r="G134" s="4">
        <v>152.7</v>
      </c>
      <c r="H134" s="4">
        <v>0.8</v>
      </c>
      <c r="I134" s="4">
        <v>35.8</v>
      </c>
      <c r="J134" s="4">
        <v>135.4</v>
      </c>
      <c r="K134" s="4">
        <v>3.8</v>
      </c>
      <c r="L134" s="4">
        <v>0.8</v>
      </c>
      <c r="M134" s="4">
        <v>59.2</v>
      </c>
      <c r="N134" s="4">
        <v>288.1</v>
      </c>
      <c r="O134" s="4">
        <v>4.9</v>
      </c>
      <c r="P134" s="4">
        <v>6.4</v>
      </c>
      <c r="Q134" s="4">
        <v>7.3</v>
      </c>
      <c r="R134" s="4">
        <v>1.3</v>
      </c>
      <c r="S134" s="4">
        <v>15.1</v>
      </c>
      <c r="T134" s="4">
        <v>5.5</v>
      </c>
      <c r="U134" s="4">
        <v>51.9</v>
      </c>
      <c r="V134" s="4">
        <v>0.8</v>
      </c>
      <c r="W134" s="4">
        <v>1.4</v>
      </c>
      <c r="X134" s="4">
        <v>2.3</v>
      </c>
    </row>
    <row r="135" ht="15.75" customHeight="1">
      <c r="A135" s="7" t="s">
        <v>203</v>
      </c>
      <c r="B135" s="4">
        <v>12.0</v>
      </c>
      <c r="C135" s="4">
        <v>13.9</v>
      </c>
      <c r="D135" s="4">
        <v>11.6</v>
      </c>
      <c r="E135" s="4">
        <v>24.5</v>
      </c>
      <c r="F135" s="4">
        <v>47.3</v>
      </c>
      <c r="G135" s="4">
        <v>156.3</v>
      </c>
      <c r="H135" s="4">
        <v>1.5</v>
      </c>
      <c r="I135" s="4">
        <v>32.6</v>
      </c>
      <c r="J135" s="4">
        <v>76.9</v>
      </c>
      <c r="K135" s="4">
        <v>2.4</v>
      </c>
      <c r="L135" s="4">
        <v>0.3</v>
      </c>
      <c r="M135" s="4">
        <v>57.1</v>
      </c>
      <c r="N135" s="4">
        <v>233.3</v>
      </c>
      <c r="O135" s="4">
        <v>4.1</v>
      </c>
      <c r="P135" s="4">
        <v>5.8</v>
      </c>
      <c r="Q135" s="4">
        <v>5.1</v>
      </c>
      <c r="R135" s="4">
        <v>2.1</v>
      </c>
      <c r="S135" s="4">
        <v>13.0</v>
      </c>
      <c r="T135" s="4">
        <v>4.9</v>
      </c>
      <c r="U135" s="4">
        <v>35.8</v>
      </c>
      <c r="V135" s="4">
        <v>0.6</v>
      </c>
      <c r="W135" s="4">
        <v>1.1</v>
      </c>
      <c r="X135" s="4">
        <v>1.7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6" width="12.63"/>
  </cols>
  <sheetData>
    <row r="1" ht="15.75" customHeight="1">
      <c r="A1" s="5" t="s">
        <v>302</v>
      </c>
      <c r="B1" s="5" t="s">
        <v>303</v>
      </c>
      <c r="C1" s="5" t="s">
        <v>45</v>
      </c>
      <c r="D1" s="5" t="s">
        <v>304</v>
      </c>
      <c r="E1" s="5" t="s">
        <v>305</v>
      </c>
      <c r="F1" s="5" t="s">
        <v>306</v>
      </c>
      <c r="G1" s="5" t="s">
        <v>307</v>
      </c>
      <c r="H1" s="5" t="s">
        <v>308</v>
      </c>
      <c r="I1" s="5" t="s">
        <v>305</v>
      </c>
      <c r="J1" s="5" t="s">
        <v>307</v>
      </c>
      <c r="K1" s="5" t="s">
        <v>309</v>
      </c>
      <c r="L1" s="5" t="s">
        <v>308</v>
      </c>
      <c r="M1" s="5" t="s">
        <v>310</v>
      </c>
      <c r="N1" s="5" t="s">
        <v>307</v>
      </c>
      <c r="O1" s="5" t="s">
        <v>309</v>
      </c>
      <c r="P1" s="5" t="s">
        <v>311</v>
      </c>
      <c r="Q1" s="5" t="s">
        <v>312</v>
      </c>
      <c r="R1" s="5" t="s">
        <v>313</v>
      </c>
      <c r="S1" s="5" t="s">
        <v>314</v>
      </c>
      <c r="T1" s="5" t="s">
        <v>315</v>
      </c>
      <c r="U1" s="5" t="s">
        <v>307</v>
      </c>
      <c r="V1" s="5" t="s">
        <v>316</v>
      </c>
      <c r="W1" s="5" t="s">
        <v>317</v>
      </c>
      <c r="X1" s="5" t="s">
        <v>330</v>
      </c>
    </row>
    <row r="2" ht="15.75" customHeight="1">
      <c r="A2" s="7" t="s">
        <v>192</v>
      </c>
      <c r="B2" s="4">
        <v>16.0</v>
      </c>
      <c r="C2" s="4">
        <v>12.9</v>
      </c>
      <c r="D2" s="4">
        <v>16.7</v>
      </c>
      <c r="E2" s="4">
        <v>27.6</v>
      </c>
      <c r="F2" s="4">
        <v>60.4</v>
      </c>
      <c r="G2" s="4">
        <v>167.0</v>
      </c>
      <c r="H2" s="4">
        <v>0.6</v>
      </c>
      <c r="I2" s="4">
        <v>33.1</v>
      </c>
      <c r="J2" s="4">
        <v>87.6</v>
      </c>
      <c r="K2" s="4">
        <v>2.6</v>
      </c>
      <c r="L2" s="4">
        <v>0.8</v>
      </c>
      <c r="M2" s="4">
        <v>60.8</v>
      </c>
      <c r="N2" s="4">
        <v>254.6</v>
      </c>
      <c r="O2" s="4">
        <v>4.2</v>
      </c>
      <c r="P2" s="4">
        <v>7.3</v>
      </c>
      <c r="Q2" s="4">
        <v>6.1</v>
      </c>
      <c r="R2" s="4">
        <v>1.7</v>
      </c>
      <c r="S2" s="4">
        <v>15.1</v>
      </c>
      <c r="T2" s="4">
        <v>3.7</v>
      </c>
      <c r="U2" s="4">
        <v>29.2</v>
      </c>
      <c r="V2" s="4">
        <v>0.6</v>
      </c>
      <c r="W2" s="4">
        <v>0.6</v>
      </c>
      <c r="X2" s="4">
        <v>1.2</v>
      </c>
    </row>
    <row r="3" ht="15.75" customHeight="1">
      <c r="A3" s="7" t="s">
        <v>318</v>
      </c>
      <c r="B3" s="4">
        <v>13.0</v>
      </c>
      <c r="C3" s="4">
        <v>14.4</v>
      </c>
      <c r="D3" s="4">
        <v>20.5</v>
      </c>
      <c r="E3" s="4">
        <v>34.4</v>
      </c>
      <c r="F3" s="4">
        <v>59.7</v>
      </c>
      <c r="G3" s="4">
        <v>230.8</v>
      </c>
      <c r="H3" s="4">
        <v>1.0</v>
      </c>
      <c r="I3" s="4">
        <v>35.1</v>
      </c>
      <c r="J3" s="4">
        <v>80.5</v>
      </c>
      <c r="K3" s="4">
        <v>2.3</v>
      </c>
      <c r="L3" s="4">
        <v>0.5</v>
      </c>
      <c r="M3" s="4">
        <v>69.5</v>
      </c>
      <c r="N3" s="4">
        <v>311.2</v>
      </c>
      <c r="O3" s="4">
        <v>4.5</v>
      </c>
      <c r="P3" s="4">
        <v>10.2</v>
      </c>
      <c r="Q3" s="4">
        <v>5.8</v>
      </c>
      <c r="R3" s="4">
        <v>2.5</v>
      </c>
      <c r="S3" s="4">
        <v>18.6</v>
      </c>
      <c r="T3" s="4">
        <v>6.2</v>
      </c>
      <c r="U3" s="4">
        <v>53.8</v>
      </c>
      <c r="V3" s="4">
        <v>0.8</v>
      </c>
      <c r="W3" s="4">
        <v>0.9</v>
      </c>
      <c r="X3" s="4">
        <v>1.8</v>
      </c>
    </row>
    <row r="4" ht="15.75" customHeight="1">
      <c r="A4" s="7" t="s">
        <v>219</v>
      </c>
      <c r="B4" s="4">
        <v>16.0</v>
      </c>
      <c r="C4" s="4">
        <v>15.3</v>
      </c>
      <c r="D4" s="4">
        <v>18.3</v>
      </c>
      <c r="E4" s="4">
        <v>30.6</v>
      </c>
      <c r="F4" s="4">
        <v>59.7</v>
      </c>
      <c r="G4" s="4">
        <v>173.8</v>
      </c>
      <c r="H4" s="4">
        <v>0.6</v>
      </c>
      <c r="I4" s="4">
        <v>33.9</v>
      </c>
      <c r="J4" s="4">
        <v>109.6</v>
      </c>
      <c r="K4" s="4">
        <v>3.2</v>
      </c>
      <c r="L4" s="4">
        <v>0.9</v>
      </c>
      <c r="M4" s="4">
        <v>64.4</v>
      </c>
      <c r="N4" s="4">
        <v>283.4</v>
      </c>
      <c r="O4" s="4">
        <v>4.4</v>
      </c>
      <c r="P4" s="4">
        <v>8.4</v>
      </c>
      <c r="Q4" s="4">
        <v>6.5</v>
      </c>
      <c r="R4" s="4">
        <v>1.5</v>
      </c>
      <c r="S4" s="4">
        <v>16.4</v>
      </c>
      <c r="T4" s="4">
        <v>5.6</v>
      </c>
      <c r="U4" s="4">
        <v>47.8</v>
      </c>
      <c r="V4" s="4">
        <v>0.6</v>
      </c>
      <c r="W4" s="4">
        <v>1.4</v>
      </c>
      <c r="X4" s="4">
        <v>1.9</v>
      </c>
    </row>
    <row r="5" ht="15.75" customHeight="1">
      <c r="A5" s="7" t="s">
        <v>97</v>
      </c>
      <c r="B5" s="4">
        <v>14.0</v>
      </c>
      <c r="C5" s="4">
        <v>15.5</v>
      </c>
      <c r="D5" s="4">
        <v>18.1</v>
      </c>
      <c r="E5" s="4">
        <v>28.7</v>
      </c>
      <c r="F5" s="4">
        <v>62.9</v>
      </c>
      <c r="G5" s="4">
        <v>185.9</v>
      </c>
      <c r="H5" s="4">
        <v>1.1</v>
      </c>
      <c r="I5" s="4">
        <v>27.2</v>
      </c>
      <c r="J5" s="4">
        <v>112.0</v>
      </c>
      <c r="K5" s="4">
        <v>4.1</v>
      </c>
      <c r="L5" s="4">
        <v>0.9</v>
      </c>
      <c r="M5" s="4">
        <v>55.9</v>
      </c>
      <c r="N5" s="4">
        <v>297.9</v>
      </c>
      <c r="O5" s="4">
        <v>5.3</v>
      </c>
      <c r="P5" s="4">
        <v>8.4</v>
      </c>
      <c r="Q5" s="4">
        <v>7.0</v>
      </c>
      <c r="R5" s="4">
        <v>0.9</v>
      </c>
      <c r="S5" s="4">
        <v>16.4</v>
      </c>
      <c r="T5" s="4">
        <v>4.6</v>
      </c>
      <c r="U5" s="4">
        <v>40.5</v>
      </c>
      <c r="V5" s="4">
        <v>0.1</v>
      </c>
      <c r="W5" s="4">
        <v>1.3</v>
      </c>
      <c r="X5" s="4">
        <v>1.4</v>
      </c>
    </row>
    <row r="6" ht="15.75" customHeight="1">
      <c r="A6" s="7" t="s">
        <v>190</v>
      </c>
      <c r="B6" s="4">
        <v>16.0</v>
      </c>
      <c r="C6" s="4">
        <v>15.5</v>
      </c>
      <c r="D6" s="4">
        <v>14.7</v>
      </c>
      <c r="E6" s="4">
        <v>28.2</v>
      </c>
      <c r="F6" s="4">
        <v>52.1</v>
      </c>
      <c r="G6" s="4">
        <v>169.4</v>
      </c>
      <c r="H6" s="4">
        <v>0.9</v>
      </c>
      <c r="I6" s="4">
        <v>36.5</v>
      </c>
      <c r="J6" s="4">
        <v>138.1</v>
      </c>
      <c r="K6" s="4">
        <v>3.8</v>
      </c>
      <c r="L6" s="4">
        <v>1.0</v>
      </c>
      <c r="M6" s="4">
        <v>64.7</v>
      </c>
      <c r="N6" s="4">
        <v>307.4</v>
      </c>
      <c r="O6" s="4">
        <v>4.8</v>
      </c>
      <c r="P6" s="4">
        <v>7.4</v>
      </c>
      <c r="Q6" s="4">
        <v>7.9</v>
      </c>
      <c r="R6" s="4">
        <v>1.8</v>
      </c>
      <c r="S6" s="4">
        <v>17.0</v>
      </c>
      <c r="T6" s="4">
        <v>5.4</v>
      </c>
      <c r="U6" s="4">
        <v>48.3</v>
      </c>
      <c r="V6" s="4">
        <v>0.9</v>
      </c>
      <c r="W6" s="4">
        <v>1.2</v>
      </c>
      <c r="X6" s="4">
        <v>2.1</v>
      </c>
    </row>
    <row r="7" ht="15.75" customHeight="1">
      <c r="A7" s="7" t="s">
        <v>139</v>
      </c>
      <c r="B7" s="4">
        <v>13.0</v>
      </c>
      <c r="C7" s="4">
        <v>15.6</v>
      </c>
      <c r="D7" s="4">
        <v>19.1</v>
      </c>
      <c r="E7" s="4">
        <v>30.5</v>
      </c>
      <c r="F7" s="4">
        <v>62.5</v>
      </c>
      <c r="G7" s="4">
        <v>176.1</v>
      </c>
      <c r="H7" s="4">
        <v>0.8</v>
      </c>
      <c r="I7" s="4">
        <v>29.2</v>
      </c>
      <c r="J7" s="4">
        <v>81.2</v>
      </c>
      <c r="K7" s="4">
        <v>2.8</v>
      </c>
      <c r="L7" s="4">
        <v>0.9</v>
      </c>
      <c r="M7" s="4">
        <v>59.8</v>
      </c>
      <c r="N7" s="4">
        <v>257.2</v>
      </c>
      <c r="O7" s="4">
        <v>4.3</v>
      </c>
      <c r="P7" s="4">
        <v>8.0</v>
      </c>
      <c r="Q7" s="4">
        <v>5.2</v>
      </c>
      <c r="R7" s="4">
        <v>1.5</v>
      </c>
      <c r="S7" s="4">
        <v>14.8</v>
      </c>
      <c r="T7" s="4">
        <v>5.8</v>
      </c>
      <c r="U7" s="4">
        <v>44.9</v>
      </c>
      <c r="V7" s="4">
        <v>0.7</v>
      </c>
      <c r="W7" s="4">
        <v>1.2</v>
      </c>
      <c r="X7" s="4">
        <v>1.8</v>
      </c>
    </row>
    <row r="8" ht="15.75" customHeight="1">
      <c r="A8" s="7" t="s">
        <v>217</v>
      </c>
      <c r="B8" s="4">
        <v>13.0</v>
      </c>
      <c r="C8" s="4">
        <v>16.1</v>
      </c>
      <c r="D8" s="4">
        <v>17.2</v>
      </c>
      <c r="E8" s="4">
        <v>29.3</v>
      </c>
      <c r="F8" s="4">
        <v>58.8</v>
      </c>
      <c r="G8" s="4">
        <v>189.3</v>
      </c>
      <c r="H8" s="4">
        <v>0.8</v>
      </c>
      <c r="I8" s="4">
        <v>35.0</v>
      </c>
      <c r="J8" s="4">
        <v>103.9</v>
      </c>
      <c r="K8" s="4">
        <v>3.0</v>
      </c>
      <c r="L8" s="4">
        <v>1.0</v>
      </c>
      <c r="M8" s="4">
        <v>64.3</v>
      </c>
      <c r="N8" s="4">
        <v>293.2</v>
      </c>
      <c r="O8" s="4">
        <v>4.6</v>
      </c>
      <c r="P8" s="4">
        <v>8.8</v>
      </c>
      <c r="Q8" s="4">
        <v>6.6</v>
      </c>
      <c r="R8" s="4">
        <v>1.9</v>
      </c>
      <c r="S8" s="4">
        <v>17.3</v>
      </c>
      <c r="T8" s="4">
        <v>6.8</v>
      </c>
      <c r="U8" s="4">
        <v>53.2</v>
      </c>
      <c r="V8" s="4">
        <v>0.7</v>
      </c>
      <c r="W8" s="4">
        <v>0.9</v>
      </c>
      <c r="X8" s="4">
        <v>1.6</v>
      </c>
    </row>
    <row r="9" ht="15.75" customHeight="1">
      <c r="A9" s="7" t="s">
        <v>200</v>
      </c>
      <c r="B9" s="4">
        <v>16.0</v>
      </c>
      <c r="C9" s="4">
        <v>16.5</v>
      </c>
      <c r="D9" s="4">
        <v>17.8</v>
      </c>
      <c r="E9" s="4">
        <v>29.7</v>
      </c>
      <c r="F9" s="4">
        <v>60.0</v>
      </c>
      <c r="G9" s="4">
        <v>192.9</v>
      </c>
      <c r="H9" s="4">
        <v>1.1</v>
      </c>
      <c r="I9" s="4">
        <v>33.4</v>
      </c>
      <c r="J9" s="4">
        <v>101.9</v>
      </c>
      <c r="K9" s="4">
        <v>3.1</v>
      </c>
      <c r="L9" s="4">
        <v>0.6</v>
      </c>
      <c r="M9" s="4">
        <v>63.1</v>
      </c>
      <c r="N9" s="4">
        <v>294.8</v>
      </c>
      <c r="O9" s="4">
        <v>4.7</v>
      </c>
      <c r="P9" s="4">
        <v>8.8</v>
      </c>
      <c r="Q9" s="4">
        <v>7.2</v>
      </c>
      <c r="R9" s="4">
        <v>1.6</v>
      </c>
      <c r="S9" s="4">
        <v>17.6</v>
      </c>
      <c r="T9" s="4">
        <v>4.4</v>
      </c>
      <c r="U9" s="4">
        <v>33.9</v>
      </c>
      <c r="V9" s="4">
        <v>0.4</v>
      </c>
      <c r="W9" s="4">
        <v>1.3</v>
      </c>
      <c r="X9" s="4">
        <v>1.6</v>
      </c>
    </row>
    <row r="10" ht="15.75" customHeight="1">
      <c r="A10" s="7" t="s">
        <v>80</v>
      </c>
      <c r="B10" s="4">
        <v>13.0</v>
      </c>
      <c r="C10" s="4">
        <v>16.9</v>
      </c>
      <c r="D10" s="4">
        <v>16.9</v>
      </c>
      <c r="E10" s="4">
        <v>28.7</v>
      </c>
      <c r="F10" s="4">
        <v>59.0</v>
      </c>
      <c r="G10" s="4">
        <v>176.1</v>
      </c>
      <c r="H10" s="4">
        <v>0.8</v>
      </c>
      <c r="I10" s="4">
        <v>31.3</v>
      </c>
      <c r="J10" s="4">
        <v>109.6</v>
      </c>
      <c r="K10" s="4">
        <v>3.5</v>
      </c>
      <c r="L10" s="4">
        <v>1.1</v>
      </c>
      <c r="M10" s="4">
        <v>60.0</v>
      </c>
      <c r="N10" s="4">
        <v>285.7</v>
      </c>
      <c r="O10" s="4">
        <v>4.8</v>
      </c>
      <c r="P10" s="4">
        <v>8.5</v>
      </c>
      <c r="Q10" s="4">
        <v>5.9</v>
      </c>
      <c r="R10" s="4">
        <v>1.5</v>
      </c>
      <c r="S10" s="4">
        <v>16.0</v>
      </c>
      <c r="T10" s="4">
        <v>5.0</v>
      </c>
      <c r="U10" s="4">
        <v>49.1</v>
      </c>
      <c r="V10" s="4">
        <v>0.3</v>
      </c>
      <c r="W10" s="4">
        <v>1.3</v>
      </c>
      <c r="X10" s="4">
        <v>1.6</v>
      </c>
    </row>
    <row r="11" ht="15.75" customHeight="1">
      <c r="A11" s="7" t="s">
        <v>111</v>
      </c>
      <c r="B11" s="4">
        <v>13.0</v>
      </c>
      <c r="C11" s="4">
        <v>17.4</v>
      </c>
      <c r="D11" s="4">
        <v>18.2</v>
      </c>
      <c r="E11" s="4">
        <v>30.4</v>
      </c>
      <c r="F11" s="4">
        <v>59.7</v>
      </c>
      <c r="G11" s="4">
        <v>182.2</v>
      </c>
      <c r="H11" s="4">
        <v>1.0</v>
      </c>
      <c r="I11" s="4">
        <v>37.5</v>
      </c>
      <c r="J11" s="4">
        <v>137.8</v>
      </c>
      <c r="K11" s="4">
        <v>3.7</v>
      </c>
      <c r="L11" s="4">
        <v>0.8</v>
      </c>
      <c r="M11" s="4">
        <v>67.8</v>
      </c>
      <c r="N11" s="4">
        <v>320.1</v>
      </c>
      <c r="O11" s="4">
        <v>4.7</v>
      </c>
      <c r="P11" s="4">
        <v>8.6</v>
      </c>
      <c r="Q11" s="4">
        <v>7.7</v>
      </c>
      <c r="R11" s="4">
        <v>2.5</v>
      </c>
      <c r="S11" s="4">
        <v>18.8</v>
      </c>
      <c r="T11" s="4">
        <v>5.8</v>
      </c>
      <c r="U11" s="4">
        <v>47.8</v>
      </c>
      <c r="V11" s="4">
        <v>0.8</v>
      </c>
      <c r="W11" s="4">
        <v>1.3</v>
      </c>
      <c r="X11" s="4">
        <v>2.2</v>
      </c>
    </row>
    <row r="12" ht="15.75" customHeight="1">
      <c r="A12" s="7" t="s">
        <v>141</v>
      </c>
      <c r="B12" s="4">
        <v>13.0</v>
      </c>
      <c r="C12" s="4">
        <v>17.8</v>
      </c>
      <c r="D12" s="4">
        <v>20.0</v>
      </c>
      <c r="E12" s="4">
        <v>32.3</v>
      </c>
      <c r="F12" s="4">
        <v>61.9</v>
      </c>
      <c r="G12" s="4">
        <v>203.1</v>
      </c>
      <c r="H12" s="4">
        <v>1.5</v>
      </c>
      <c r="I12" s="4">
        <v>31.2</v>
      </c>
      <c r="J12" s="4">
        <v>115.3</v>
      </c>
      <c r="K12" s="4">
        <v>3.7</v>
      </c>
      <c r="L12" s="4">
        <v>0.3</v>
      </c>
      <c r="M12" s="4">
        <v>63.5</v>
      </c>
      <c r="N12" s="4">
        <v>318.4</v>
      </c>
      <c r="O12" s="4">
        <v>5.0</v>
      </c>
      <c r="P12" s="4">
        <v>9.5</v>
      </c>
      <c r="Q12" s="4">
        <v>7.2</v>
      </c>
      <c r="R12" s="4">
        <v>1.1</v>
      </c>
      <c r="S12" s="4">
        <v>17.7</v>
      </c>
      <c r="T12" s="4">
        <v>5.7</v>
      </c>
      <c r="U12" s="4">
        <v>44.7</v>
      </c>
      <c r="V12" s="4">
        <v>0.6</v>
      </c>
      <c r="W12" s="4">
        <v>1.2</v>
      </c>
      <c r="X12" s="4">
        <v>1.8</v>
      </c>
    </row>
    <row r="13" ht="15.75" customHeight="1">
      <c r="A13" s="7" t="s">
        <v>216</v>
      </c>
      <c r="B13" s="4">
        <v>14.0</v>
      </c>
      <c r="C13" s="4">
        <v>18.1</v>
      </c>
      <c r="D13" s="4">
        <v>18.9</v>
      </c>
      <c r="E13" s="4">
        <v>31.0</v>
      </c>
      <c r="F13" s="4">
        <v>61.1</v>
      </c>
      <c r="G13" s="4">
        <v>212.6</v>
      </c>
      <c r="H13" s="4">
        <v>1.1</v>
      </c>
      <c r="I13" s="4">
        <v>30.7</v>
      </c>
      <c r="J13" s="4">
        <v>90.6</v>
      </c>
      <c r="K13" s="4">
        <v>2.9</v>
      </c>
      <c r="L13" s="4">
        <v>1.0</v>
      </c>
      <c r="M13" s="4">
        <v>61.7</v>
      </c>
      <c r="N13" s="4">
        <v>303.1</v>
      </c>
      <c r="O13" s="4">
        <v>4.9</v>
      </c>
      <c r="P13" s="4">
        <v>9.8</v>
      </c>
      <c r="Q13" s="4">
        <v>5.8</v>
      </c>
      <c r="R13" s="4">
        <v>1.0</v>
      </c>
      <c r="S13" s="4">
        <v>16.6</v>
      </c>
      <c r="T13" s="4">
        <v>5.7</v>
      </c>
      <c r="U13" s="4">
        <v>52.4</v>
      </c>
      <c r="V13" s="4">
        <v>0.6</v>
      </c>
      <c r="W13" s="4">
        <v>0.8</v>
      </c>
      <c r="X13" s="4">
        <v>1.4</v>
      </c>
    </row>
    <row r="14" ht="15.75" customHeight="1">
      <c r="A14" s="7" t="s">
        <v>210</v>
      </c>
      <c r="B14" s="4">
        <v>13.0</v>
      </c>
      <c r="C14" s="4">
        <v>18.1</v>
      </c>
      <c r="D14" s="4">
        <v>17.6</v>
      </c>
      <c r="E14" s="4">
        <v>30.5</v>
      </c>
      <c r="F14" s="4">
        <v>57.7</v>
      </c>
      <c r="G14" s="4">
        <v>204.4</v>
      </c>
      <c r="H14" s="4">
        <v>0.8</v>
      </c>
      <c r="I14" s="4">
        <v>34.9</v>
      </c>
      <c r="J14" s="4">
        <v>112.2</v>
      </c>
      <c r="K14" s="4">
        <v>3.2</v>
      </c>
      <c r="L14" s="4">
        <v>1.4</v>
      </c>
      <c r="M14" s="4">
        <v>65.5</v>
      </c>
      <c r="N14" s="4">
        <v>316.6</v>
      </c>
      <c r="O14" s="4">
        <v>4.8</v>
      </c>
      <c r="P14" s="4">
        <v>9.1</v>
      </c>
      <c r="Q14" s="4">
        <v>7.3</v>
      </c>
      <c r="R14" s="4">
        <v>1.7</v>
      </c>
      <c r="S14" s="4">
        <v>18.1</v>
      </c>
      <c r="T14" s="4">
        <v>5.9</v>
      </c>
      <c r="U14" s="4">
        <v>49.6</v>
      </c>
      <c r="V14" s="4">
        <v>0.8</v>
      </c>
      <c r="W14" s="4">
        <v>1.1</v>
      </c>
      <c r="X14" s="4">
        <v>1.8</v>
      </c>
    </row>
    <row r="15" ht="15.75" customHeight="1">
      <c r="A15" s="7" t="s">
        <v>186</v>
      </c>
      <c r="B15" s="4">
        <v>13.0</v>
      </c>
      <c r="C15" s="4">
        <v>18.5</v>
      </c>
      <c r="D15" s="4">
        <v>15.4</v>
      </c>
      <c r="E15" s="4">
        <v>28.6</v>
      </c>
      <c r="F15" s="4">
        <v>53.8</v>
      </c>
      <c r="G15" s="4">
        <v>172.5</v>
      </c>
      <c r="H15" s="4">
        <v>1.2</v>
      </c>
      <c r="I15" s="4">
        <v>31.7</v>
      </c>
      <c r="J15" s="4">
        <v>112.2</v>
      </c>
      <c r="K15" s="4">
        <v>3.5</v>
      </c>
      <c r="L15" s="4">
        <v>0.8</v>
      </c>
      <c r="M15" s="4">
        <v>60.3</v>
      </c>
      <c r="N15" s="4">
        <v>284.6</v>
      </c>
      <c r="O15" s="4">
        <v>4.7</v>
      </c>
      <c r="P15" s="4">
        <v>7.6</v>
      </c>
      <c r="Q15" s="4">
        <v>6.8</v>
      </c>
      <c r="R15" s="4">
        <v>1.9</v>
      </c>
      <c r="S15" s="4">
        <v>16.4</v>
      </c>
      <c r="T15" s="4">
        <v>5.2</v>
      </c>
      <c r="U15" s="4">
        <v>45.5</v>
      </c>
      <c r="V15" s="4">
        <v>0.4</v>
      </c>
      <c r="W15" s="4">
        <v>0.7</v>
      </c>
      <c r="X15" s="4">
        <v>1.1</v>
      </c>
    </row>
    <row r="16" ht="15.75" customHeight="1">
      <c r="A16" s="7" t="s">
        <v>189</v>
      </c>
      <c r="B16" s="4">
        <v>14.0</v>
      </c>
      <c r="C16" s="4">
        <v>18.8</v>
      </c>
      <c r="D16" s="4">
        <v>19.1</v>
      </c>
      <c r="E16" s="4">
        <v>33.1</v>
      </c>
      <c r="F16" s="4">
        <v>57.8</v>
      </c>
      <c r="G16" s="4">
        <v>194.3</v>
      </c>
      <c r="H16" s="4">
        <v>0.7</v>
      </c>
      <c r="I16" s="4">
        <v>35.1</v>
      </c>
      <c r="J16" s="4">
        <v>137.1</v>
      </c>
      <c r="K16" s="4">
        <v>3.9</v>
      </c>
      <c r="L16" s="4">
        <v>1.4</v>
      </c>
      <c r="M16" s="4">
        <v>68.2</v>
      </c>
      <c r="N16" s="4">
        <v>331.4</v>
      </c>
      <c r="O16" s="4">
        <v>4.9</v>
      </c>
      <c r="P16" s="4">
        <v>10.1</v>
      </c>
      <c r="Q16" s="4">
        <v>8.3</v>
      </c>
      <c r="R16" s="4">
        <v>1.8</v>
      </c>
      <c r="S16" s="4">
        <v>20.2</v>
      </c>
      <c r="T16" s="4">
        <v>4.9</v>
      </c>
      <c r="U16" s="4">
        <v>41.9</v>
      </c>
      <c r="V16" s="4">
        <v>0.7</v>
      </c>
      <c r="W16" s="4">
        <v>0.9</v>
      </c>
      <c r="X16" s="4">
        <v>1.6</v>
      </c>
    </row>
    <row r="17" ht="15.75" customHeight="1">
      <c r="A17" s="7" t="s">
        <v>196</v>
      </c>
      <c r="B17" s="4">
        <v>14.0</v>
      </c>
      <c r="C17" s="4">
        <v>19.4</v>
      </c>
      <c r="D17" s="4">
        <v>16.7</v>
      </c>
      <c r="E17" s="4">
        <v>30.0</v>
      </c>
      <c r="F17" s="4">
        <v>55.7</v>
      </c>
      <c r="G17" s="4">
        <v>185.9</v>
      </c>
      <c r="H17" s="4">
        <v>1.1</v>
      </c>
      <c r="I17" s="4">
        <v>31.4</v>
      </c>
      <c r="J17" s="4">
        <v>130.0</v>
      </c>
      <c r="K17" s="4">
        <v>4.1</v>
      </c>
      <c r="L17" s="4">
        <v>1.1</v>
      </c>
      <c r="M17" s="4">
        <v>61.4</v>
      </c>
      <c r="N17" s="4">
        <v>315.9</v>
      </c>
      <c r="O17" s="4">
        <v>5.1</v>
      </c>
      <c r="P17" s="4">
        <v>8.6</v>
      </c>
      <c r="Q17" s="4">
        <v>6.9</v>
      </c>
      <c r="R17" s="4">
        <v>1.6</v>
      </c>
      <c r="S17" s="4">
        <v>17.2</v>
      </c>
      <c r="T17" s="4">
        <v>5.5</v>
      </c>
      <c r="U17" s="4">
        <v>46.5</v>
      </c>
      <c r="V17" s="4">
        <v>0.4</v>
      </c>
      <c r="W17" s="4">
        <v>0.9</v>
      </c>
      <c r="X17" s="4">
        <v>1.3</v>
      </c>
    </row>
    <row r="18" ht="15.75" customHeight="1">
      <c r="A18" s="7" t="s">
        <v>177</v>
      </c>
      <c r="B18" s="4">
        <v>13.0</v>
      </c>
      <c r="C18" s="4">
        <v>19.5</v>
      </c>
      <c r="D18" s="4">
        <v>18.6</v>
      </c>
      <c r="E18" s="4">
        <v>29.2</v>
      </c>
      <c r="F18" s="4">
        <v>63.9</v>
      </c>
      <c r="G18" s="4">
        <v>216.7</v>
      </c>
      <c r="H18" s="4">
        <v>1.8</v>
      </c>
      <c r="I18" s="4">
        <v>30.0</v>
      </c>
      <c r="J18" s="4">
        <v>101.2</v>
      </c>
      <c r="K18" s="4">
        <v>3.4</v>
      </c>
      <c r="L18" s="4">
        <v>0.6</v>
      </c>
      <c r="M18" s="4">
        <v>59.2</v>
      </c>
      <c r="N18" s="4">
        <v>317.9</v>
      </c>
      <c r="O18" s="4">
        <v>5.4</v>
      </c>
      <c r="P18" s="4">
        <v>9.3</v>
      </c>
      <c r="Q18" s="4">
        <v>5.3</v>
      </c>
      <c r="R18" s="4">
        <v>1.8</v>
      </c>
      <c r="S18" s="4">
        <v>16.5</v>
      </c>
      <c r="T18" s="4">
        <v>6.2</v>
      </c>
      <c r="U18" s="4">
        <v>62.5</v>
      </c>
      <c r="V18" s="4">
        <v>0.5</v>
      </c>
      <c r="W18" s="4">
        <v>0.8</v>
      </c>
      <c r="X18" s="4">
        <v>1.3</v>
      </c>
    </row>
    <row r="19" ht="15.75" customHeight="1">
      <c r="A19" s="7" t="s">
        <v>126</v>
      </c>
      <c r="B19" s="4">
        <v>13.0</v>
      </c>
      <c r="C19" s="4">
        <v>19.6</v>
      </c>
      <c r="D19" s="4">
        <v>16.7</v>
      </c>
      <c r="E19" s="4">
        <v>30.2</v>
      </c>
      <c r="F19" s="4">
        <v>55.4</v>
      </c>
      <c r="G19" s="4">
        <v>182.5</v>
      </c>
      <c r="H19" s="4">
        <v>1.0</v>
      </c>
      <c r="I19" s="4">
        <v>32.8</v>
      </c>
      <c r="J19" s="4">
        <v>126.3</v>
      </c>
      <c r="K19" s="4">
        <v>3.9</v>
      </c>
      <c r="L19" s="4">
        <v>1.4</v>
      </c>
      <c r="M19" s="4">
        <v>62.9</v>
      </c>
      <c r="N19" s="4">
        <v>308.8</v>
      </c>
      <c r="O19" s="4">
        <v>4.9</v>
      </c>
      <c r="P19" s="4">
        <v>8.3</v>
      </c>
      <c r="Q19" s="4">
        <v>7.5</v>
      </c>
      <c r="R19" s="4">
        <v>1.2</v>
      </c>
      <c r="S19" s="4">
        <v>17.0</v>
      </c>
      <c r="T19" s="4">
        <v>6.2</v>
      </c>
      <c r="U19" s="4">
        <v>52.2</v>
      </c>
      <c r="V19" s="4">
        <v>0.5</v>
      </c>
      <c r="W19" s="4">
        <v>1.7</v>
      </c>
      <c r="X19" s="4">
        <v>2.2</v>
      </c>
    </row>
    <row r="20" ht="15.75" customHeight="1">
      <c r="A20" s="7" t="s">
        <v>167</v>
      </c>
      <c r="B20" s="4">
        <v>13.0</v>
      </c>
      <c r="C20" s="4">
        <v>19.9</v>
      </c>
      <c r="D20" s="4">
        <v>20.2</v>
      </c>
      <c r="E20" s="4">
        <v>33.5</v>
      </c>
      <c r="F20" s="4">
        <v>60.1</v>
      </c>
      <c r="G20" s="4">
        <v>216.3</v>
      </c>
      <c r="H20" s="4">
        <v>1.5</v>
      </c>
      <c r="I20" s="4">
        <v>29.6</v>
      </c>
      <c r="J20" s="4">
        <v>90.7</v>
      </c>
      <c r="K20" s="4">
        <v>3.1</v>
      </c>
      <c r="L20" s="4">
        <v>0.8</v>
      </c>
      <c r="M20" s="4">
        <v>63.2</v>
      </c>
      <c r="N20" s="4">
        <v>307.0</v>
      </c>
      <c r="O20" s="4">
        <v>4.9</v>
      </c>
      <c r="P20" s="4">
        <v>9.7</v>
      </c>
      <c r="Q20" s="4">
        <v>6.2</v>
      </c>
      <c r="R20" s="4">
        <v>1.5</v>
      </c>
      <c r="S20" s="4">
        <v>17.4</v>
      </c>
      <c r="T20" s="4">
        <v>4.2</v>
      </c>
      <c r="U20" s="4">
        <v>31.5</v>
      </c>
      <c r="V20" s="4">
        <v>0.5</v>
      </c>
      <c r="W20" s="4">
        <v>0.9</v>
      </c>
      <c r="X20" s="4">
        <v>1.4</v>
      </c>
    </row>
    <row r="21" ht="15.75" customHeight="1">
      <c r="A21" s="7" t="s">
        <v>77</v>
      </c>
      <c r="B21" s="4">
        <v>13.0</v>
      </c>
      <c r="C21" s="4">
        <v>20.4</v>
      </c>
      <c r="D21" s="4">
        <v>15.2</v>
      </c>
      <c r="E21" s="4">
        <v>25.0</v>
      </c>
      <c r="F21" s="4">
        <v>60.9</v>
      </c>
      <c r="G21" s="4">
        <v>181.3</v>
      </c>
      <c r="H21" s="4">
        <v>1.1</v>
      </c>
      <c r="I21" s="4">
        <v>33.5</v>
      </c>
      <c r="J21" s="4">
        <v>136.2</v>
      </c>
      <c r="K21" s="4">
        <v>4.1</v>
      </c>
      <c r="L21" s="4">
        <v>1.2</v>
      </c>
      <c r="M21" s="4">
        <v>58.5</v>
      </c>
      <c r="N21" s="4">
        <v>317.5</v>
      </c>
      <c r="O21" s="4">
        <v>5.4</v>
      </c>
      <c r="P21" s="4">
        <v>7.7</v>
      </c>
      <c r="Q21" s="4">
        <v>7.2</v>
      </c>
      <c r="R21" s="4">
        <v>1.4</v>
      </c>
      <c r="S21" s="4">
        <v>16.2</v>
      </c>
      <c r="T21" s="4">
        <v>6.0</v>
      </c>
      <c r="U21" s="4">
        <v>52.5</v>
      </c>
      <c r="V21" s="4">
        <v>0.8</v>
      </c>
      <c r="W21" s="4">
        <v>0.5</v>
      </c>
      <c r="X21" s="4">
        <v>1.3</v>
      </c>
    </row>
    <row r="22" ht="15.75" customHeight="1">
      <c r="A22" s="7" t="s">
        <v>145</v>
      </c>
      <c r="B22" s="4">
        <v>13.0</v>
      </c>
      <c r="C22" s="4">
        <v>20.5</v>
      </c>
      <c r="D22" s="4">
        <v>18.0</v>
      </c>
      <c r="E22" s="4">
        <v>33.0</v>
      </c>
      <c r="F22" s="4">
        <v>54.5</v>
      </c>
      <c r="G22" s="4">
        <v>206.5</v>
      </c>
      <c r="H22" s="4">
        <v>1.2</v>
      </c>
      <c r="I22" s="4">
        <v>33.1</v>
      </c>
      <c r="J22" s="4">
        <v>115.4</v>
      </c>
      <c r="K22" s="4">
        <v>3.5</v>
      </c>
      <c r="L22" s="4">
        <v>1.0</v>
      </c>
      <c r="M22" s="4">
        <v>66.1</v>
      </c>
      <c r="N22" s="4">
        <v>321.8</v>
      </c>
      <c r="O22" s="4">
        <v>4.9</v>
      </c>
      <c r="P22" s="4">
        <v>9.4</v>
      </c>
      <c r="Q22" s="4">
        <v>6.6</v>
      </c>
      <c r="R22" s="4">
        <v>1.5</v>
      </c>
      <c r="S22" s="4">
        <v>17.5</v>
      </c>
      <c r="T22" s="4">
        <v>5.2</v>
      </c>
      <c r="U22" s="4">
        <v>45.2</v>
      </c>
      <c r="V22" s="4">
        <v>0.9</v>
      </c>
      <c r="W22" s="4">
        <v>1.3</v>
      </c>
      <c r="X22" s="4">
        <v>2.2</v>
      </c>
    </row>
    <row r="23" ht="15.75" customHeight="1">
      <c r="A23" s="7" t="s">
        <v>206</v>
      </c>
      <c r="B23" s="4">
        <v>13.0</v>
      </c>
      <c r="C23" s="4">
        <v>20.5</v>
      </c>
      <c r="D23" s="4">
        <v>17.6</v>
      </c>
      <c r="E23" s="4">
        <v>30.7</v>
      </c>
      <c r="F23" s="4">
        <v>57.4</v>
      </c>
      <c r="G23" s="4">
        <v>177.0</v>
      </c>
      <c r="H23" s="4">
        <v>1.1</v>
      </c>
      <c r="I23" s="4">
        <v>36.5</v>
      </c>
      <c r="J23" s="4">
        <v>144.5</v>
      </c>
      <c r="K23" s="4">
        <v>4.0</v>
      </c>
      <c r="L23" s="4">
        <v>1.3</v>
      </c>
      <c r="M23" s="4">
        <v>67.2</v>
      </c>
      <c r="N23" s="4">
        <v>321.5</v>
      </c>
      <c r="O23" s="4">
        <v>4.8</v>
      </c>
      <c r="P23" s="4">
        <v>8.6</v>
      </c>
      <c r="Q23" s="4">
        <v>8.5</v>
      </c>
      <c r="R23" s="4">
        <v>1.2</v>
      </c>
      <c r="S23" s="4">
        <v>18.3</v>
      </c>
      <c r="T23" s="4">
        <v>6.7</v>
      </c>
      <c r="U23" s="4">
        <v>55.9</v>
      </c>
      <c r="V23" s="4">
        <v>0.8</v>
      </c>
      <c r="W23" s="4">
        <v>1.2</v>
      </c>
      <c r="X23" s="4">
        <v>2.1</v>
      </c>
    </row>
    <row r="24" ht="15.75" customHeight="1">
      <c r="A24" s="7" t="s">
        <v>136</v>
      </c>
      <c r="B24" s="4">
        <v>14.0</v>
      </c>
      <c r="C24" s="4">
        <v>20.6</v>
      </c>
      <c r="D24" s="4">
        <v>17.9</v>
      </c>
      <c r="E24" s="4">
        <v>30.4</v>
      </c>
      <c r="F24" s="4">
        <v>58.9</v>
      </c>
      <c r="G24" s="4">
        <v>200.2</v>
      </c>
      <c r="H24" s="4">
        <v>1.0</v>
      </c>
      <c r="I24" s="4">
        <v>34.9</v>
      </c>
      <c r="J24" s="4">
        <v>129.6</v>
      </c>
      <c r="K24" s="4">
        <v>3.7</v>
      </c>
      <c r="L24" s="4">
        <v>1.0</v>
      </c>
      <c r="M24" s="4">
        <v>65.4</v>
      </c>
      <c r="N24" s="4">
        <v>329.9</v>
      </c>
      <c r="O24" s="4">
        <v>5.0</v>
      </c>
      <c r="P24" s="4">
        <v>8.9</v>
      </c>
      <c r="Q24" s="4">
        <v>7.0</v>
      </c>
      <c r="R24" s="4">
        <v>1.9</v>
      </c>
      <c r="S24" s="4">
        <v>17.8</v>
      </c>
      <c r="T24" s="4">
        <v>6.4</v>
      </c>
      <c r="U24" s="4">
        <v>49.3</v>
      </c>
      <c r="V24" s="4">
        <v>0.8</v>
      </c>
      <c r="W24" s="4">
        <v>0.6</v>
      </c>
      <c r="X24" s="4">
        <v>1.4</v>
      </c>
    </row>
    <row r="25" ht="15.75" customHeight="1">
      <c r="A25" s="7" t="s">
        <v>89</v>
      </c>
      <c r="B25" s="4">
        <v>14.0</v>
      </c>
      <c r="C25" s="4">
        <v>20.6</v>
      </c>
      <c r="D25" s="4">
        <v>16.8</v>
      </c>
      <c r="E25" s="4">
        <v>28.9</v>
      </c>
      <c r="F25" s="4">
        <v>58.2</v>
      </c>
      <c r="G25" s="4">
        <v>177.7</v>
      </c>
      <c r="H25" s="4">
        <v>0.9</v>
      </c>
      <c r="I25" s="4">
        <v>32.6</v>
      </c>
      <c r="J25" s="4">
        <v>145.8</v>
      </c>
      <c r="K25" s="4">
        <v>4.5</v>
      </c>
      <c r="L25" s="4">
        <v>1.4</v>
      </c>
      <c r="M25" s="4">
        <v>61.4</v>
      </c>
      <c r="N25" s="4">
        <v>323.5</v>
      </c>
      <c r="O25" s="4">
        <v>5.3</v>
      </c>
      <c r="P25" s="4">
        <v>8.2</v>
      </c>
      <c r="Q25" s="4">
        <v>7.3</v>
      </c>
      <c r="R25" s="4">
        <v>1.9</v>
      </c>
      <c r="S25" s="4">
        <v>17.4</v>
      </c>
      <c r="T25" s="4">
        <v>5.7</v>
      </c>
      <c r="U25" s="4">
        <v>46.6</v>
      </c>
      <c r="V25" s="4">
        <v>0.6</v>
      </c>
      <c r="W25" s="4">
        <v>1.0</v>
      </c>
      <c r="X25" s="4">
        <v>1.6</v>
      </c>
    </row>
    <row r="26" ht="15.75" customHeight="1">
      <c r="A26" s="7" t="s">
        <v>93</v>
      </c>
      <c r="B26" s="4">
        <v>12.0</v>
      </c>
      <c r="C26" s="4">
        <v>20.7</v>
      </c>
      <c r="D26" s="4">
        <v>16.6</v>
      </c>
      <c r="E26" s="4">
        <v>31.7</v>
      </c>
      <c r="F26" s="4">
        <v>52.4</v>
      </c>
      <c r="G26" s="4">
        <v>200.3</v>
      </c>
      <c r="H26" s="4">
        <v>1.3</v>
      </c>
      <c r="I26" s="4">
        <v>33.7</v>
      </c>
      <c r="J26" s="4">
        <v>129.4</v>
      </c>
      <c r="K26" s="4">
        <v>3.8</v>
      </c>
      <c r="L26" s="4">
        <v>1.1</v>
      </c>
      <c r="M26" s="4">
        <v>65.3</v>
      </c>
      <c r="N26" s="4">
        <v>329.7</v>
      </c>
      <c r="O26" s="4">
        <v>5.0</v>
      </c>
      <c r="P26" s="4">
        <v>8.5</v>
      </c>
      <c r="Q26" s="4">
        <v>6.8</v>
      </c>
      <c r="R26" s="4">
        <v>1.3</v>
      </c>
      <c r="S26" s="4">
        <v>16.5</v>
      </c>
      <c r="T26" s="4">
        <v>6.2</v>
      </c>
      <c r="U26" s="4">
        <v>43.8</v>
      </c>
      <c r="V26" s="4">
        <v>0.5</v>
      </c>
      <c r="W26" s="4">
        <v>1.0</v>
      </c>
      <c r="X26" s="4">
        <v>1.5</v>
      </c>
    </row>
    <row r="27" ht="15.75" customHeight="1">
      <c r="A27" s="7" t="s">
        <v>155</v>
      </c>
      <c r="B27" s="4">
        <v>13.0</v>
      </c>
      <c r="C27" s="4">
        <v>21.0</v>
      </c>
      <c r="D27" s="4">
        <v>15.7</v>
      </c>
      <c r="E27" s="4">
        <v>28.2</v>
      </c>
      <c r="F27" s="4">
        <v>55.7</v>
      </c>
      <c r="G27" s="4">
        <v>172.8</v>
      </c>
      <c r="H27" s="4">
        <v>0.8</v>
      </c>
      <c r="I27" s="4">
        <v>37.8</v>
      </c>
      <c r="J27" s="4">
        <v>135.5</v>
      </c>
      <c r="K27" s="4">
        <v>3.6</v>
      </c>
      <c r="L27" s="4">
        <v>1.6</v>
      </c>
      <c r="M27" s="4">
        <v>65.9</v>
      </c>
      <c r="N27" s="4">
        <v>308.4</v>
      </c>
      <c r="O27" s="4">
        <v>4.7</v>
      </c>
      <c r="P27" s="4">
        <v>7.6</v>
      </c>
      <c r="Q27" s="4">
        <v>8.2</v>
      </c>
      <c r="R27" s="4">
        <v>1.9</v>
      </c>
      <c r="S27" s="4">
        <v>17.8</v>
      </c>
      <c r="T27" s="4">
        <v>4.8</v>
      </c>
      <c r="U27" s="4">
        <v>41.8</v>
      </c>
      <c r="V27" s="4">
        <v>0.9</v>
      </c>
      <c r="W27" s="4">
        <v>0.4</v>
      </c>
      <c r="X27" s="4">
        <v>1.3</v>
      </c>
    </row>
    <row r="28" ht="15.75" customHeight="1">
      <c r="A28" s="7" t="s">
        <v>120</v>
      </c>
      <c r="B28" s="4">
        <v>12.0</v>
      </c>
      <c r="C28" s="4">
        <v>21.3</v>
      </c>
      <c r="D28" s="4">
        <v>16.6</v>
      </c>
      <c r="E28" s="4">
        <v>29.5</v>
      </c>
      <c r="F28" s="4">
        <v>56.2</v>
      </c>
      <c r="G28" s="4">
        <v>213.0</v>
      </c>
      <c r="H28" s="4">
        <v>1.0</v>
      </c>
      <c r="I28" s="4">
        <v>38.3</v>
      </c>
      <c r="J28" s="4">
        <v>117.8</v>
      </c>
      <c r="K28" s="4">
        <v>3.1</v>
      </c>
      <c r="L28" s="4">
        <v>1.5</v>
      </c>
      <c r="M28" s="4">
        <v>67.8</v>
      </c>
      <c r="N28" s="4">
        <v>330.8</v>
      </c>
      <c r="O28" s="4">
        <v>4.9</v>
      </c>
      <c r="P28" s="4">
        <v>8.4</v>
      </c>
      <c r="Q28" s="4">
        <v>7.5</v>
      </c>
      <c r="R28" s="4">
        <v>1.8</v>
      </c>
      <c r="S28" s="4">
        <v>17.8</v>
      </c>
      <c r="T28" s="4">
        <v>6.5</v>
      </c>
      <c r="U28" s="4">
        <v>53.5</v>
      </c>
      <c r="V28" s="4">
        <v>0.4</v>
      </c>
      <c r="W28" s="4">
        <v>0.7</v>
      </c>
      <c r="X28" s="4">
        <v>1.1</v>
      </c>
    </row>
    <row r="29" ht="15.75" customHeight="1">
      <c r="A29" s="7" t="s">
        <v>320</v>
      </c>
      <c r="B29" s="4">
        <v>14.0</v>
      </c>
      <c r="C29" s="4">
        <v>21.3</v>
      </c>
      <c r="D29" s="4">
        <v>21.1</v>
      </c>
      <c r="E29" s="4">
        <v>36.9</v>
      </c>
      <c r="F29" s="4">
        <v>57.3</v>
      </c>
      <c r="G29" s="4">
        <v>235.9</v>
      </c>
      <c r="H29" s="4">
        <v>1.4</v>
      </c>
      <c r="I29" s="4">
        <v>32.6</v>
      </c>
      <c r="J29" s="4">
        <v>115.0</v>
      </c>
      <c r="K29" s="4">
        <v>3.5</v>
      </c>
      <c r="L29" s="4">
        <v>1.2</v>
      </c>
      <c r="M29" s="4">
        <v>69.6</v>
      </c>
      <c r="N29" s="4">
        <v>350.9</v>
      </c>
      <c r="O29" s="4">
        <v>5.0</v>
      </c>
      <c r="P29" s="4">
        <v>11.1</v>
      </c>
      <c r="Q29" s="4">
        <v>6.7</v>
      </c>
      <c r="R29" s="4">
        <v>1.9</v>
      </c>
      <c r="S29" s="4">
        <v>19.8</v>
      </c>
      <c r="T29" s="4">
        <v>6.4</v>
      </c>
      <c r="U29" s="4">
        <v>60.3</v>
      </c>
      <c r="V29" s="4">
        <v>0.4</v>
      </c>
      <c r="W29" s="4">
        <v>1.2</v>
      </c>
      <c r="X29" s="4">
        <v>1.6</v>
      </c>
    </row>
    <row r="30" ht="15.75" customHeight="1">
      <c r="A30" s="7" t="s">
        <v>103</v>
      </c>
      <c r="B30" s="4">
        <v>13.0</v>
      </c>
      <c r="C30" s="4">
        <v>21.5</v>
      </c>
      <c r="D30" s="4">
        <v>16.7</v>
      </c>
      <c r="E30" s="4">
        <v>27.8</v>
      </c>
      <c r="F30" s="4">
        <v>60.1</v>
      </c>
      <c r="G30" s="4">
        <v>203.2</v>
      </c>
      <c r="H30" s="4">
        <v>1.3</v>
      </c>
      <c r="I30" s="4">
        <v>36.6</v>
      </c>
      <c r="J30" s="4">
        <v>115.1</v>
      </c>
      <c r="K30" s="4">
        <v>3.1</v>
      </c>
      <c r="L30" s="4">
        <v>0.8</v>
      </c>
      <c r="M30" s="4">
        <v>64.4</v>
      </c>
      <c r="N30" s="4">
        <v>318.2</v>
      </c>
      <c r="O30" s="4">
        <v>4.9</v>
      </c>
      <c r="P30" s="4">
        <v>8.8</v>
      </c>
      <c r="Q30" s="4">
        <v>6.2</v>
      </c>
      <c r="R30" s="4">
        <v>1.3</v>
      </c>
      <c r="S30" s="4">
        <v>16.3</v>
      </c>
      <c r="T30" s="4">
        <v>6.2</v>
      </c>
      <c r="U30" s="4">
        <v>52.9</v>
      </c>
      <c r="V30" s="4">
        <v>0.9</v>
      </c>
      <c r="W30" s="4">
        <v>0.7</v>
      </c>
      <c r="X30" s="4">
        <v>1.6</v>
      </c>
    </row>
    <row r="31" ht="15.75" customHeight="1">
      <c r="A31" s="7" t="s">
        <v>327</v>
      </c>
      <c r="B31" s="4">
        <v>13.0</v>
      </c>
      <c r="C31" s="4">
        <v>21.6</v>
      </c>
      <c r="D31" s="4">
        <v>16.5</v>
      </c>
      <c r="E31" s="4">
        <v>28.5</v>
      </c>
      <c r="F31" s="4">
        <v>57.8</v>
      </c>
      <c r="G31" s="4">
        <v>185.4</v>
      </c>
      <c r="H31" s="4">
        <v>1.3</v>
      </c>
      <c r="I31" s="4">
        <v>34.1</v>
      </c>
      <c r="J31" s="4">
        <v>145.9</v>
      </c>
      <c r="K31" s="4">
        <v>4.3</v>
      </c>
      <c r="L31" s="4">
        <v>1.1</v>
      </c>
      <c r="M31" s="4">
        <v>62.5</v>
      </c>
      <c r="N31" s="4">
        <v>331.3</v>
      </c>
      <c r="O31" s="4">
        <v>5.3</v>
      </c>
      <c r="P31" s="4">
        <v>8.3</v>
      </c>
      <c r="Q31" s="4">
        <v>7.8</v>
      </c>
      <c r="R31" s="4">
        <v>1.4</v>
      </c>
      <c r="S31" s="4">
        <v>17.5</v>
      </c>
      <c r="T31" s="4">
        <v>5.2</v>
      </c>
      <c r="U31" s="4">
        <v>44.0</v>
      </c>
      <c r="V31" s="4">
        <v>0.2</v>
      </c>
      <c r="W31" s="4">
        <v>0.9</v>
      </c>
      <c r="X31" s="4">
        <v>1.1</v>
      </c>
    </row>
    <row r="32" ht="15.75" customHeight="1">
      <c r="A32" s="7" t="s">
        <v>71</v>
      </c>
      <c r="B32" s="4">
        <v>13.0</v>
      </c>
      <c r="C32" s="4">
        <v>21.7</v>
      </c>
      <c r="D32" s="4">
        <v>20.2</v>
      </c>
      <c r="E32" s="4">
        <v>34.2</v>
      </c>
      <c r="F32" s="4">
        <v>59.0</v>
      </c>
      <c r="G32" s="4">
        <v>224.8</v>
      </c>
      <c r="H32" s="4">
        <v>1.5</v>
      </c>
      <c r="I32" s="4">
        <v>33.9</v>
      </c>
      <c r="J32" s="4">
        <v>148.4</v>
      </c>
      <c r="K32" s="4">
        <v>4.4</v>
      </c>
      <c r="L32" s="4">
        <v>0.9</v>
      </c>
      <c r="M32" s="4">
        <v>68.1</v>
      </c>
      <c r="N32" s="4">
        <v>373.2</v>
      </c>
      <c r="O32" s="4">
        <v>5.5</v>
      </c>
      <c r="P32" s="4">
        <v>10.8</v>
      </c>
      <c r="Q32" s="4">
        <v>9.0</v>
      </c>
      <c r="R32" s="4">
        <v>1.3</v>
      </c>
      <c r="S32" s="4">
        <v>21.2</v>
      </c>
      <c r="T32" s="4">
        <v>5.6</v>
      </c>
      <c r="U32" s="4">
        <v>50.8</v>
      </c>
      <c r="V32" s="4">
        <v>0.6</v>
      </c>
      <c r="W32" s="4">
        <v>0.9</v>
      </c>
      <c r="X32" s="4">
        <v>1.5</v>
      </c>
    </row>
    <row r="33" ht="15.75" customHeight="1">
      <c r="A33" s="7" t="s">
        <v>149</v>
      </c>
      <c r="B33" s="4">
        <v>12.0</v>
      </c>
      <c r="C33" s="4">
        <v>22.1</v>
      </c>
      <c r="D33" s="4">
        <v>14.8</v>
      </c>
      <c r="E33" s="4">
        <v>23.3</v>
      </c>
      <c r="F33" s="4">
        <v>63.4</v>
      </c>
      <c r="G33" s="4">
        <v>183.7</v>
      </c>
      <c r="H33" s="4">
        <v>0.8</v>
      </c>
      <c r="I33" s="4">
        <v>36.3</v>
      </c>
      <c r="J33" s="4">
        <v>161.8</v>
      </c>
      <c r="K33" s="4">
        <v>4.5</v>
      </c>
      <c r="L33" s="4">
        <v>1.7</v>
      </c>
      <c r="M33" s="4">
        <v>59.6</v>
      </c>
      <c r="N33" s="4">
        <v>345.5</v>
      </c>
      <c r="O33" s="4">
        <v>5.8</v>
      </c>
      <c r="P33" s="4">
        <v>7.8</v>
      </c>
      <c r="Q33" s="4">
        <v>8.7</v>
      </c>
      <c r="R33" s="4">
        <v>1.4</v>
      </c>
      <c r="S33" s="4">
        <v>17.9</v>
      </c>
      <c r="T33" s="4">
        <v>6.8</v>
      </c>
      <c r="U33" s="4">
        <v>55.2</v>
      </c>
      <c r="V33" s="4">
        <v>0.5</v>
      </c>
      <c r="W33" s="4">
        <v>0.8</v>
      </c>
      <c r="X33" s="4">
        <v>1.3</v>
      </c>
    </row>
    <row r="34" ht="15.75" customHeight="1">
      <c r="A34" s="7" t="s">
        <v>319</v>
      </c>
      <c r="B34" s="4">
        <v>14.0</v>
      </c>
      <c r="C34" s="4">
        <v>22.1</v>
      </c>
      <c r="D34" s="4">
        <v>19.9</v>
      </c>
      <c r="E34" s="4">
        <v>35.3</v>
      </c>
      <c r="F34" s="4">
        <v>56.3</v>
      </c>
      <c r="G34" s="4">
        <v>225.8</v>
      </c>
      <c r="H34" s="4">
        <v>1.7</v>
      </c>
      <c r="I34" s="4">
        <v>34.5</v>
      </c>
      <c r="J34" s="4">
        <v>100.2</v>
      </c>
      <c r="K34" s="4">
        <v>2.9</v>
      </c>
      <c r="L34" s="4">
        <v>0.9</v>
      </c>
      <c r="M34" s="4">
        <v>69.8</v>
      </c>
      <c r="N34" s="4">
        <v>326.0</v>
      </c>
      <c r="O34" s="4">
        <v>4.7</v>
      </c>
      <c r="P34" s="4">
        <v>10.0</v>
      </c>
      <c r="Q34" s="4">
        <v>6.1</v>
      </c>
      <c r="R34" s="4">
        <v>2.5</v>
      </c>
      <c r="S34" s="4">
        <v>18.6</v>
      </c>
      <c r="T34" s="4">
        <v>6.6</v>
      </c>
      <c r="U34" s="4">
        <v>58.4</v>
      </c>
      <c r="V34" s="4">
        <v>0.4</v>
      </c>
      <c r="W34" s="4">
        <v>1.1</v>
      </c>
      <c r="X34" s="4">
        <v>1.6</v>
      </c>
    </row>
    <row r="35" ht="15.75" customHeight="1">
      <c r="A35" s="7" t="s">
        <v>175</v>
      </c>
      <c r="B35" s="4">
        <v>13.0</v>
      </c>
      <c r="C35" s="4">
        <v>22.2</v>
      </c>
      <c r="D35" s="4">
        <v>18.5</v>
      </c>
      <c r="E35" s="4">
        <v>31.2</v>
      </c>
      <c r="F35" s="4">
        <v>59.3</v>
      </c>
      <c r="G35" s="4">
        <v>212.8</v>
      </c>
      <c r="H35" s="4">
        <v>1.5</v>
      </c>
      <c r="I35" s="4">
        <v>37.5</v>
      </c>
      <c r="J35" s="4">
        <v>156.1</v>
      </c>
      <c r="K35" s="4">
        <v>4.2</v>
      </c>
      <c r="L35" s="4">
        <v>1.3</v>
      </c>
      <c r="M35" s="4">
        <v>68.6</v>
      </c>
      <c r="N35" s="4">
        <v>368.9</v>
      </c>
      <c r="O35" s="4">
        <v>5.4</v>
      </c>
      <c r="P35" s="4">
        <v>9.2</v>
      </c>
      <c r="Q35" s="4">
        <v>8.9</v>
      </c>
      <c r="R35" s="4">
        <v>1.6</v>
      </c>
      <c r="S35" s="4">
        <v>19.7</v>
      </c>
      <c r="T35" s="4">
        <v>6.0</v>
      </c>
      <c r="U35" s="4">
        <v>49.1</v>
      </c>
      <c r="V35" s="4">
        <v>0.5</v>
      </c>
      <c r="W35" s="4">
        <v>1.3</v>
      </c>
      <c r="X35" s="4">
        <v>1.8</v>
      </c>
    </row>
    <row r="36" ht="15.75" customHeight="1">
      <c r="A36" s="7" t="s">
        <v>191</v>
      </c>
      <c r="B36" s="4">
        <v>13.0</v>
      </c>
      <c r="C36" s="4">
        <v>22.2</v>
      </c>
      <c r="D36" s="4">
        <v>17.5</v>
      </c>
      <c r="E36" s="4">
        <v>32.9</v>
      </c>
      <c r="F36" s="4">
        <v>53.3</v>
      </c>
      <c r="G36" s="4">
        <v>232.2</v>
      </c>
      <c r="H36" s="4">
        <v>1.5</v>
      </c>
      <c r="I36" s="4">
        <v>34.0</v>
      </c>
      <c r="J36" s="4">
        <v>135.2</v>
      </c>
      <c r="K36" s="4">
        <v>4.0</v>
      </c>
      <c r="L36" s="4">
        <v>1.1</v>
      </c>
      <c r="M36" s="4">
        <v>66.9</v>
      </c>
      <c r="N36" s="4">
        <v>367.3</v>
      </c>
      <c r="O36" s="4">
        <v>5.5</v>
      </c>
      <c r="P36" s="4">
        <v>9.5</v>
      </c>
      <c r="Q36" s="4">
        <v>7.8</v>
      </c>
      <c r="R36" s="4">
        <v>2.3</v>
      </c>
      <c r="S36" s="4">
        <v>19.6</v>
      </c>
      <c r="T36" s="4">
        <v>6.2</v>
      </c>
      <c r="U36" s="4">
        <v>51.8</v>
      </c>
      <c r="V36" s="4">
        <v>0.3</v>
      </c>
      <c r="W36" s="4">
        <v>1.2</v>
      </c>
      <c r="X36" s="4">
        <v>1.5</v>
      </c>
    </row>
    <row r="37" ht="15.75" customHeight="1">
      <c r="A37" s="7" t="s">
        <v>128</v>
      </c>
      <c r="B37" s="4">
        <v>13.0</v>
      </c>
      <c r="C37" s="4">
        <v>22.3</v>
      </c>
      <c r="D37" s="4">
        <v>19.2</v>
      </c>
      <c r="E37" s="4">
        <v>34.0</v>
      </c>
      <c r="F37" s="4">
        <v>56.6</v>
      </c>
      <c r="G37" s="4">
        <v>227.6</v>
      </c>
      <c r="H37" s="4">
        <v>1.3</v>
      </c>
      <c r="I37" s="4">
        <v>33.6</v>
      </c>
      <c r="J37" s="4">
        <v>109.8</v>
      </c>
      <c r="K37" s="4">
        <v>3.3</v>
      </c>
      <c r="L37" s="4">
        <v>1.5</v>
      </c>
      <c r="M37" s="4">
        <v>67.6</v>
      </c>
      <c r="N37" s="4">
        <v>337.5</v>
      </c>
      <c r="O37" s="4">
        <v>5.0</v>
      </c>
      <c r="P37" s="4">
        <v>10.8</v>
      </c>
      <c r="Q37" s="4">
        <v>5.7</v>
      </c>
      <c r="R37" s="4">
        <v>1.8</v>
      </c>
      <c r="S37" s="4">
        <v>18.3</v>
      </c>
      <c r="T37" s="4">
        <v>6.6</v>
      </c>
      <c r="U37" s="4">
        <v>60.3</v>
      </c>
      <c r="V37" s="4">
        <v>0.4</v>
      </c>
      <c r="W37" s="4">
        <v>1.3</v>
      </c>
      <c r="X37" s="4">
        <v>1.7</v>
      </c>
    </row>
    <row r="38" ht="15.75" customHeight="1">
      <c r="A38" s="7" t="s">
        <v>116</v>
      </c>
      <c r="B38" s="4">
        <v>14.0</v>
      </c>
      <c r="C38" s="4">
        <v>22.6</v>
      </c>
      <c r="D38" s="4">
        <v>20.2</v>
      </c>
      <c r="E38" s="4">
        <v>34.2</v>
      </c>
      <c r="F38" s="4">
        <v>59.1</v>
      </c>
      <c r="G38" s="4">
        <v>226.7</v>
      </c>
      <c r="H38" s="4">
        <v>1.4</v>
      </c>
      <c r="I38" s="4">
        <v>30.7</v>
      </c>
      <c r="J38" s="4">
        <v>112.9</v>
      </c>
      <c r="K38" s="4">
        <v>3.7</v>
      </c>
      <c r="L38" s="4">
        <v>1.4</v>
      </c>
      <c r="M38" s="4">
        <v>64.9</v>
      </c>
      <c r="N38" s="4">
        <v>339.6</v>
      </c>
      <c r="O38" s="4">
        <v>5.2</v>
      </c>
      <c r="P38" s="4">
        <v>11.6</v>
      </c>
      <c r="Q38" s="4">
        <v>6.8</v>
      </c>
      <c r="R38" s="4">
        <v>1.9</v>
      </c>
      <c r="S38" s="4">
        <v>20.3</v>
      </c>
      <c r="T38" s="4">
        <v>5.4</v>
      </c>
      <c r="U38" s="4">
        <v>48.4</v>
      </c>
      <c r="V38" s="4">
        <v>0.5</v>
      </c>
      <c r="W38" s="4">
        <v>1.1</v>
      </c>
      <c r="X38" s="4">
        <v>1.6</v>
      </c>
    </row>
    <row r="39" ht="15.75" customHeight="1">
      <c r="A39" s="7" t="s">
        <v>124</v>
      </c>
      <c r="B39" s="4">
        <v>14.0</v>
      </c>
      <c r="C39" s="4">
        <v>22.6</v>
      </c>
      <c r="D39" s="4">
        <v>19.5</v>
      </c>
      <c r="E39" s="4">
        <v>32.2</v>
      </c>
      <c r="F39" s="4">
        <v>60.5</v>
      </c>
      <c r="G39" s="4">
        <v>241.4</v>
      </c>
      <c r="H39" s="4">
        <v>1.7</v>
      </c>
      <c r="I39" s="4">
        <v>32.4</v>
      </c>
      <c r="J39" s="4">
        <v>122.3</v>
      </c>
      <c r="K39" s="4">
        <v>3.8</v>
      </c>
      <c r="L39" s="4">
        <v>1.1</v>
      </c>
      <c r="M39" s="4">
        <v>64.6</v>
      </c>
      <c r="N39" s="4">
        <v>363.7</v>
      </c>
      <c r="O39" s="4">
        <v>5.6</v>
      </c>
      <c r="P39" s="4">
        <v>9.2</v>
      </c>
      <c r="Q39" s="4">
        <v>6.8</v>
      </c>
      <c r="R39" s="4">
        <v>1.2</v>
      </c>
      <c r="S39" s="4">
        <v>17.2</v>
      </c>
      <c r="T39" s="4">
        <v>6.6</v>
      </c>
      <c r="U39" s="4">
        <v>52.6</v>
      </c>
      <c r="V39" s="4">
        <v>0.6</v>
      </c>
      <c r="W39" s="4">
        <v>0.5</v>
      </c>
      <c r="X39" s="4">
        <v>1.1</v>
      </c>
    </row>
    <row r="40" ht="15.75" customHeight="1">
      <c r="A40" s="7" t="s">
        <v>231</v>
      </c>
      <c r="B40" s="4">
        <v>13.0</v>
      </c>
      <c r="C40" s="4">
        <v>22.8</v>
      </c>
      <c r="D40" s="4">
        <v>16.8</v>
      </c>
      <c r="E40" s="4">
        <v>30.8</v>
      </c>
      <c r="F40" s="4">
        <v>54.8</v>
      </c>
      <c r="G40" s="4">
        <v>215.9</v>
      </c>
      <c r="H40" s="4">
        <v>1.5</v>
      </c>
      <c r="I40" s="4">
        <v>37.5</v>
      </c>
      <c r="J40" s="4">
        <v>147.1</v>
      </c>
      <c r="K40" s="4">
        <v>3.9</v>
      </c>
      <c r="L40" s="4">
        <v>1.3</v>
      </c>
      <c r="M40" s="4">
        <v>68.3</v>
      </c>
      <c r="N40" s="4">
        <v>363.0</v>
      </c>
      <c r="O40" s="4">
        <v>5.3</v>
      </c>
      <c r="P40" s="4">
        <v>9.2</v>
      </c>
      <c r="Q40" s="4">
        <v>8.2</v>
      </c>
      <c r="R40" s="4">
        <v>1.5</v>
      </c>
      <c r="S40" s="4">
        <v>18.9</v>
      </c>
      <c r="T40" s="4">
        <v>6.0</v>
      </c>
      <c r="U40" s="4">
        <v>54.3</v>
      </c>
      <c r="V40" s="4">
        <v>0.8</v>
      </c>
      <c r="W40" s="4">
        <v>1.2</v>
      </c>
      <c r="X40" s="4">
        <v>1.9</v>
      </c>
    </row>
    <row r="41" ht="15.75" customHeight="1">
      <c r="A41" s="7" t="s">
        <v>181</v>
      </c>
      <c r="B41" s="4">
        <v>12.0</v>
      </c>
      <c r="C41" s="4">
        <v>22.9</v>
      </c>
      <c r="D41" s="4">
        <v>16.6</v>
      </c>
      <c r="E41" s="4">
        <v>27.8</v>
      </c>
      <c r="F41" s="4">
        <v>59.8</v>
      </c>
      <c r="G41" s="4">
        <v>188.8</v>
      </c>
      <c r="H41" s="4">
        <v>1.5</v>
      </c>
      <c r="I41" s="4">
        <v>34.7</v>
      </c>
      <c r="J41" s="4">
        <v>135.9</v>
      </c>
      <c r="K41" s="4">
        <v>3.9</v>
      </c>
      <c r="L41" s="4">
        <v>1.2</v>
      </c>
      <c r="M41" s="4">
        <v>62.4</v>
      </c>
      <c r="N41" s="4">
        <v>324.8</v>
      </c>
      <c r="O41" s="4">
        <v>5.2</v>
      </c>
      <c r="P41" s="4">
        <v>8.6</v>
      </c>
      <c r="Q41" s="4">
        <v>7.5</v>
      </c>
      <c r="R41" s="4">
        <v>1.8</v>
      </c>
      <c r="S41" s="4">
        <v>17.8</v>
      </c>
      <c r="T41" s="4">
        <v>4.5</v>
      </c>
      <c r="U41" s="4">
        <v>42.3</v>
      </c>
      <c r="V41" s="4">
        <v>0.6</v>
      </c>
      <c r="W41" s="4">
        <v>1.0</v>
      </c>
      <c r="X41" s="4">
        <v>1.6</v>
      </c>
    </row>
    <row r="42" ht="15.75" customHeight="1">
      <c r="A42" s="7" t="s">
        <v>143</v>
      </c>
      <c r="B42" s="4">
        <v>14.0</v>
      </c>
      <c r="C42" s="4">
        <v>22.9</v>
      </c>
      <c r="D42" s="4">
        <v>14.0</v>
      </c>
      <c r="E42" s="4">
        <v>26.6</v>
      </c>
      <c r="F42" s="4">
        <v>52.7</v>
      </c>
      <c r="G42" s="4">
        <v>165.6</v>
      </c>
      <c r="H42" s="4">
        <v>1.3</v>
      </c>
      <c r="I42" s="4">
        <v>35.2</v>
      </c>
      <c r="J42" s="4">
        <v>188.4</v>
      </c>
      <c r="K42" s="4">
        <v>5.3</v>
      </c>
      <c r="L42" s="4">
        <v>1.4</v>
      </c>
      <c r="M42" s="4">
        <v>61.8</v>
      </c>
      <c r="N42" s="4">
        <v>353.9</v>
      </c>
      <c r="O42" s="4">
        <v>5.7</v>
      </c>
      <c r="P42" s="4">
        <v>7.9</v>
      </c>
      <c r="Q42" s="4">
        <v>8.6</v>
      </c>
      <c r="R42" s="4">
        <v>0.6</v>
      </c>
      <c r="S42" s="4">
        <v>17.2</v>
      </c>
      <c r="T42" s="4">
        <v>6.6</v>
      </c>
      <c r="U42" s="4">
        <v>56.4</v>
      </c>
      <c r="V42" s="4">
        <v>0.6</v>
      </c>
      <c r="W42" s="4">
        <v>1.1</v>
      </c>
      <c r="X42" s="4">
        <v>1.7</v>
      </c>
    </row>
    <row r="43" ht="15.75" customHeight="1">
      <c r="A43" s="7" t="s">
        <v>69</v>
      </c>
      <c r="B43" s="4">
        <v>13.0</v>
      </c>
      <c r="C43" s="4">
        <v>23.1</v>
      </c>
      <c r="D43" s="4">
        <v>17.6</v>
      </c>
      <c r="E43" s="4">
        <v>30.2</v>
      </c>
      <c r="F43" s="4">
        <v>58.3</v>
      </c>
      <c r="G43" s="4">
        <v>200.5</v>
      </c>
      <c r="H43" s="4">
        <v>1.2</v>
      </c>
      <c r="I43" s="4">
        <v>39.2</v>
      </c>
      <c r="J43" s="4">
        <v>151.4</v>
      </c>
      <c r="K43" s="4">
        <v>3.9</v>
      </c>
      <c r="L43" s="4">
        <v>1.3</v>
      </c>
      <c r="M43" s="4">
        <v>69.4</v>
      </c>
      <c r="N43" s="4">
        <v>351.9</v>
      </c>
      <c r="O43" s="4">
        <v>5.1</v>
      </c>
      <c r="P43" s="4">
        <v>8.5</v>
      </c>
      <c r="Q43" s="4">
        <v>9.5</v>
      </c>
      <c r="R43" s="4">
        <v>2.2</v>
      </c>
      <c r="S43" s="4">
        <v>20.2</v>
      </c>
      <c r="T43" s="4">
        <v>7.6</v>
      </c>
      <c r="U43" s="4">
        <v>66.9</v>
      </c>
      <c r="V43" s="4">
        <v>0.9</v>
      </c>
      <c r="W43" s="4">
        <v>1.2</v>
      </c>
      <c r="X43" s="4">
        <v>2.1</v>
      </c>
    </row>
    <row r="44" ht="15.75" customHeight="1">
      <c r="A44" s="7" t="s">
        <v>162</v>
      </c>
      <c r="B44" s="4">
        <v>13.0</v>
      </c>
      <c r="C44" s="4">
        <v>23.1</v>
      </c>
      <c r="D44" s="4">
        <v>20.6</v>
      </c>
      <c r="E44" s="4">
        <v>33.3</v>
      </c>
      <c r="F44" s="4">
        <v>61.9</v>
      </c>
      <c r="G44" s="4">
        <v>215.0</v>
      </c>
      <c r="H44" s="4">
        <v>1.2</v>
      </c>
      <c r="I44" s="4">
        <v>34.8</v>
      </c>
      <c r="J44" s="4">
        <v>132.3</v>
      </c>
      <c r="K44" s="4">
        <v>3.8</v>
      </c>
      <c r="L44" s="4">
        <v>1.2</v>
      </c>
      <c r="M44" s="4">
        <v>68.2</v>
      </c>
      <c r="N44" s="4">
        <v>347.3</v>
      </c>
      <c r="O44" s="4">
        <v>5.1</v>
      </c>
      <c r="P44" s="4">
        <v>8.8</v>
      </c>
      <c r="Q44" s="4">
        <v>7.4</v>
      </c>
      <c r="R44" s="4">
        <v>1.8</v>
      </c>
      <c r="S44" s="4">
        <v>18.1</v>
      </c>
      <c r="T44" s="4">
        <v>7.7</v>
      </c>
      <c r="U44" s="4">
        <v>64.2</v>
      </c>
      <c r="V44" s="4">
        <v>0.4</v>
      </c>
      <c r="W44" s="4">
        <v>0.8</v>
      </c>
      <c r="X44" s="4">
        <v>1.2</v>
      </c>
    </row>
    <row r="45" ht="15.75" customHeight="1">
      <c r="A45" s="7" t="s">
        <v>166</v>
      </c>
      <c r="B45" s="4">
        <v>13.0</v>
      </c>
      <c r="C45" s="4">
        <v>23.1</v>
      </c>
      <c r="D45" s="4">
        <v>18.8</v>
      </c>
      <c r="E45" s="4">
        <v>32.4</v>
      </c>
      <c r="F45" s="4">
        <v>58.0</v>
      </c>
      <c r="G45" s="4">
        <v>227.5</v>
      </c>
      <c r="H45" s="4">
        <v>1.4</v>
      </c>
      <c r="I45" s="4">
        <v>39.4</v>
      </c>
      <c r="J45" s="4">
        <v>149.5</v>
      </c>
      <c r="K45" s="4">
        <v>3.8</v>
      </c>
      <c r="L45" s="4">
        <v>1.3</v>
      </c>
      <c r="M45" s="4">
        <v>71.8</v>
      </c>
      <c r="N45" s="4">
        <v>376.9</v>
      </c>
      <c r="O45" s="4">
        <v>5.3</v>
      </c>
      <c r="P45" s="4">
        <v>10.5</v>
      </c>
      <c r="Q45" s="4">
        <v>9.3</v>
      </c>
      <c r="R45" s="4">
        <v>1.8</v>
      </c>
      <c r="S45" s="4">
        <v>21.7</v>
      </c>
      <c r="T45" s="4">
        <v>4.8</v>
      </c>
      <c r="U45" s="4">
        <v>44.1</v>
      </c>
      <c r="V45" s="4">
        <v>0.8</v>
      </c>
      <c r="W45" s="4">
        <v>1.1</v>
      </c>
      <c r="X45" s="4">
        <v>1.9</v>
      </c>
    </row>
    <row r="46" ht="15.75" customHeight="1">
      <c r="A46" s="7" t="s">
        <v>159</v>
      </c>
      <c r="B46" s="4">
        <v>13.0</v>
      </c>
      <c r="C46" s="4">
        <v>23.1</v>
      </c>
      <c r="D46" s="4">
        <v>16.8</v>
      </c>
      <c r="E46" s="4">
        <v>29.4</v>
      </c>
      <c r="F46" s="4">
        <v>57.3</v>
      </c>
      <c r="G46" s="4">
        <v>199.1</v>
      </c>
      <c r="H46" s="4">
        <v>1.2</v>
      </c>
      <c r="I46" s="4">
        <v>40.5</v>
      </c>
      <c r="J46" s="4">
        <v>179.0</v>
      </c>
      <c r="K46" s="4">
        <v>4.4</v>
      </c>
      <c r="L46" s="4">
        <v>1.6</v>
      </c>
      <c r="M46" s="4">
        <v>69.9</v>
      </c>
      <c r="N46" s="4">
        <v>378.1</v>
      </c>
      <c r="O46" s="4">
        <v>5.4</v>
      </c>
      <c r="P46" s="4">
        <v>9.1</v>
      </c>
      <c r="Q46" s="4">
        <v>9.2</v>
      </c>
      <c r="R46" s="4">
        <v>1.5</v>
      </c>
      <c r="S46" s="4">
        <v>19.8</v>
      </c>
      <c r="T46" s="4">
        <v>7.0</v>
      </c>
      <c r="U46" s="4">
        <v>61.4</v>
      </c>
      <c r="V46" s="4">
        <v>0.5</v>
      </c>
      <c r="W46" s="4">
        <v>1.0</v>
      </c>
      <c r="X46" s="4">
        <v>1.5</v>
      </c>
    </row>
    <row r="47" ht="15.75" customHeight="1">
      <c r="A47" s="7" t="s">
        <v>107</v>
      </c>
      <c r="B47" s="4">
        <v>12.0</v>
      </c>
      <c r="C47" s="4">
        <v>23.1</v>
      </c>
      <c r="D47" s="4">
        <v>16.8</v>
      </c>
      <c r="E47" s="4">
        <v>26.9</v>
      </c>
      <c r="F47" s="4">
        <v>62.5</v>
      </c>
      <c r="G47" s="4">
        <v>177.7</v>
      </c>
      <c r="H47" s="4">
        <v>1.0</v>
      </c>
      <c r="I47" s="4">
        <v>35.7</v>
      </c>
      <c r="J47" s="4">
        <v>165.0</v>
      </c>
      <c r="K47" s="4">
        <v>4.6</v>
      </c>
      <c r="L47" s="4">
        <v>1.7</v>
      </c>
      <c r="M47" s="4">
        <v>62.6</v>
      </c>
      <c r="N47" s="4">
        <v>342.7</v>
      </c>
      <c r="O47" s="4">
        <v>5.5</v>
      </c>
      <c r="P47" s="4">
        <v>8.3</v>
      </c>
      <c r="Q47" s="4">
        <v>8.8</v>
      </c>
      <c r="R47" s="4">
        <v>1.1</v>
      </c>
      <c r="S47" s="4">
        <v>18.3</v>
      </c>
      <c r="T47" s="4">
        <v>5.7</v>
      </c>
      <c r="U47" s="4">
        <v>46.6</v>
      </c>
      <c r="V47" s="4">
        <v>0.7</v>
      </c>
      <c r="W47" s="4">
        <v>0.3</v>
      </c>
      <c r="X47" s="4">
        <v>1.0</v>
      </c>
    </row>
    <row r="48" ht="15.75" customHeight="1">
      <c r="A48" s="7" t="s">
        <v>87</v>
      </c>
      <c r="B48" s="4">
        <v>13.0</v>
      </c>
      <c r="C48" s="4">
        <v>23.2</v>
      </c>
      <c r="D48" s="4">
        <v>18.8</v>
      </c>
      <c r="E48" s="4">
        <v>32.8</v>
      </c>
      <c r="F48" s="4">
        <v>57.5</v>
      </c>
      <c r="G48" s="4">
        <v>207.9</v>
      </c>
      <c r="H48" s="4">
        <v>1.2</v>
      </c>
      <c r="I48" s="4">
        <v>40.4</v>
      </c>
      <c r="J48" s="4">
        <v>150.7</v>
      </c>
      <c r="K48" s="4">
        <v>3.7</v>
      </c>
      <c r="L48" s="4">
        <v>1.2</v>
      </c>
      <c r="M48" s="4">
        <v>73.2</v>
      </c>
      <c r="N48" s="4">
        <v>358.6</v>
      </c>
      <c r="O48" s="4">
        <v>4.9</v>
      </c>
      <c r="P48" s="4">
        <v>9.7</v>
      </c>
      <c r="Q48" s="4">
        <v>8.8</v>
      </c>
      <c r="R48" s="4">
        <v>1.9</v>
      </c>
      <c r="S48" s="4">
        <v>20.5</v>
      </c>
      <c r="T48" s="4">
        <v>6.9</v>
      </c>
      <c r="U48" s="4">
        <v>63.8</v>
      </c>
      <c r="V48" s="4">
        <v>0.5</v>
      </c>
      <c r="W48" s="4">
        <v>1.0</v>
      </c>
      <c r="X48" s="4">
        <v>1.5</v>
      </c>
    </row>
    <row r="49" ht="15.75" customHeight="1">
      <c r="A49" s="7" t="s">
        <v>109</v>
      </c>
      <c r="B49" s="4">
        <v>12.0</v>
      </c>
      <c r="C49" s="4">
        <v>23.3</v>
      </c>
      <c r="D49" s="4">
        <v>15.6</v>
      </c>
      <c r="E49" s="4">
        <v>24.1</v>
      </c>
      <c r="F49" s="4">
        <v>64.7</v>
      </c>
      <c r="G49" s="4">
        <v>188.5</v>
      </c>
      <c r="H49" s="4">
        <v>1.0</v>
      </c>
      <c r="I49" s="4">
        <v>33.6</v>
      </c>
      <c r="J49" s="4">
        <v>153.4</v>
      </c>
      <c r="K49" s="4">
        <v>4.6</v>
      </c>
      <c r="L49" s="4">
        <v>1.9</v>
      </c>
      <c r="M49" s="4">
        <v>57.7</v>
      </c>
      <c r="N49" s="4">
        <v>341.9</v>
      </c>
      <c r="O49" s="4">
        <v>5.9</v>
      </c>
      <c r="P49" s="4">
        <v>8.5</v>
      </c>
      <c r="Q49" s="4">
        <v>7.4</v>
      </c>
      <c r="R49" s="4">
        <v>1.1</v>
      </c>
      <c r="S49" s="4">
        <v>17.0</v>
      </c>
      <c r="T49" s="4">
        <v>5.3</v>
      </c>
      <c r="U49" s="4">
        <v>48.4</v>
      </c>
      <c r="V49" s="4">
        <v>0.7</v>
      </c>
      <c r="W49" s="4">
        <v>0.3</v>
      </c>
      <c r="X49" s="4">
        <v>1.0</v>
      </c>
    </row>
    <row r="50" ht="15.75" customHeight="1">
      <c r="A50" s="7" t="s">
        <v>137</v>
      </c>
      <c r="B50" s="4">
        <v>14.0</v>
      </c>
      <c r="C50" s="4">
        <v>23.4</v>
      </c>
      <c r="D50" s="4">
        <v>18.8</v>
      </c>
      <c r="E50" s="4">
        <v>33.4</v>
      </c>
      <c r="F50" s="4">
        <v>56.3</v>
      </c>
      <c r="G50" s="4">
        <v>213.5</v>
      </c>
      <c r="H50" s="4">
        <v>1.6</v>
      </c>
      <c r="I50" s="4">
        <v>34.1</v>
      </c>
      <c r="J50" s="4">
        <v>160.6</v>
      </c>
      <c r="K50" s="4">
        <v>4.7</v>
      </c>
      <c r="L50" s="4">
        <v>1.3</v>
      </c>
      <c r="M50" s="4">
        <v>67.4</v>
      </c>
      <c r="N50" s="4">
        <v>374.1</v>
      </c>
      <c r="O50" s="4">
        <v>5.5</v>
      </c>
      <c r="P50" s="4">
        <v>9.5</v>
      </c>
      <c r="Q50" s="4">
        <v>8.4</v>
      </c>
      <c r="R50" s="4">
        <v>2.6</v>
      </c>
      <c r="S50" s="4">
        <v>20.5</v>
      </c>
      <c r="T50" s="4">
        <v>6.1</v>
      </c>
      <c r="U50" s="4">
        <v>55.1</v>
      </c>
      <c r="V50" s="4">
        <v>0.7</v>
      </c>
      <c r="W50" s="4">
        <v>1.1</v>
      </c>
      <c r="X50" s="4">
        <v>1.9</v>
      </c>
    </row>
    <row r="51" ht="15.75" customHeight="1">
      <c r="A51" s="7" t="s">
        <v>147</v>
      </c>
      <c r="B51" s="4">
        <v>13.0</v>
      </c>
      <c r="C51" s="4">
        <v>23.4</v>
      </c>
      <c r="D51" s="4">
        <v>18.8</v>
      </c>
      <c r="E51" s="4">
        <v>32.0</v>
      </c>
      <c r="F51" s="4">
        <v>58.7</v>
      </c>
      <c r="G51" s="4">
        <v>224.7</v>
      </c>
      <c r="H51" s="4">
        <v>1.5</v>
      </c>
      <c r="I51" s="4">
        <v>33.3</v>
      </c>
      <c r="J51" s="4">
        <v>118.7</v>
      </c>
      <c r="K51" s="4">
        <v>3.6</v>
      </c>
      <c r="L51" s="4">
        <v>1.2</v>
      </c>
      <c r="M51" s="4">
        <v>65.3</v>
      </c>
      <c r="N51" s="4">
        <v>343.4</v>
      </c>
      <c r="O51" s="4">
        <v>5.3</v>
      </c>
      <c r="P51" s="4">
        <v>10.0</v>
      </c>
      <c r="Q51" s="4">
        <v>6.7</v>
      </c>
      <c r="R51" s="4">
        <v>2.0</v>
      </c>
      <c r="S51" s="4">
        <v>18.7</v>
      </c>
      <c r="T51" s="4">
        <v>4.5</v>
      </c>
      <c r="U51" s="4">
        <v>35.3</v>
      </c>
      <c r="V51" s="4">
        <v>0.4</v>
      </c>
      <c r="W51" s="4">
        <v>0.8</v>
      </c>
      <c r="X51" s="4">
        <v>1.2</v>
      </c>
    </row>
    <row r="52" ht="15.75" customHeight="1">
      <c r="A52" s="7" t="s">
        <v>230</v>
      </c>
      <c r="B52" s="4">
        <v>13.0</v>
      </c>
      <c r="C52" s="4">
        <v>23.4</v>
      </c>
      <c r="D52" s="4">
        <v>20.4</v>
      </c>
      <c r="E52" s="4">
        <v>29.9</v>
      </c>
      <c r="F52" s="4">
        <v>68.1</v>
      </c>
      <c r="G52" s="4">
        <v>235.7</v>
      </c>
      <c r="H52" s="4">
        <v>1.8</v>
      </c>
      <c r="I52" s="4">
        <v>32.8</v>
      </c>
      <c r="J52" s="4">
        <v>140.8</v>
      </c>
      <c r="K52" s="4">
        <v>4.3</v>
      </c>
      <c r="L52" s="4">
        <v>1.0</v>
      </c>
      <c r="M52" s="4">
        <v>62.8</v>
      </c>
      <c r="N52" s="4">
        <v>376.5</v>
      </c>
      <c r="O52" s="4">
        <v>6.0</v>
      </c>
      <c r="P52" s="4">
        <v>10.9</v>
      </c>
      <c r="Q52" s="4">
        <v>8.1</v>
      </c>
      <c r="R52" s="4">
        <v>1.6</v>
      </c>
      <c r="S52" s="4">
        <v>20.6</v>
      </c>
      <c r="T52" s="4">
        <v>6.8</v>
      </c>
      <c r="U52" s="4">
        <v>58.8</v>
      </c>
      <c r="V52" s="4">
        <v>0.5</v>
      </c>
      <c r="W52" s="4">
        <v>0.8</v>
      </c>
      <c r="X52" s="4">
        <v>1.2</v>
      </c>
    </row>
    <row r="53" ht="15.75" customHeight="1">
      <c r="A53" s="7" t="s">
        <v>151</v>
      </c>
      <c r="B53" s="4">
        <v>12.0</v>
      </c>
      <c r="C53" s="4">
        <v>23.5</v>
      </c>
      <c r="D53" s="4">
        <v>15.8</v>
      </c>
      <c r="E53" s="4">
        <v>26.9</v>
      </c>
      <c r="F53" s="4">
        <v>58.8</v>
      </c>
      <c r="G53" s="4">
        <v>196.3</v>
      </c>
      <c r="H53" s="4">
        <v>0.9</v>
      </c>
      <c r="I53" s="4">
        <v>38.5</v>
      </c>
      <c r="J53" s="4">
        <v>154.1</v>
      </c>
      <c r="K53" s="4">
        <v>4.0</v>
      </c>
      <c r="L53" s="4">
        <v>1.8</v>
      </c>
      <c r="M53" s="4">
        <v>65.4</v>
      </c>
      <c r="N53" s="4">
        <v>350.4</v>
      </c>
      <c r="O53" s="4">
        <v>5.4</v>
      </c>
      <c r="P53" s="4">
        <v>8.3</v>
      </c>
      <c r="Q53" s="4">
        <v>7.9</v>
      </c>
      <c r="R53" s="4">
        <v>2.6</v>
      </c>
      <c r="S53" s="4">
        <v>18.8</v>
      </c>
      <c r="T53" s="4">
        <v>6.3</v>
      </c>
      <c r="U53" s="4">
        <v>53.3</v>
      </c>
      <c r="V53" s="4">
        <v>0.6</v>
      </c>
      <c r="W53" s="4">
        <v>0.7</v>
      </c>
      <c r="X53" s="4">
        <v>1.3</v>
      </c>
    </row>
    <row r="54" ht="15.75" customHeight="1">
      <c r="A54" s="7" t="s">
        <v>240</v>
      </c>
      <c r="B54" s="4">
        <v>13.0</v>
      </c>
      <c r="C54" s="4">
        <v>23.8</v>
      </c>
      <c r="D54" s="4">
        <v>20.8</v>
      </c>
      <c r="E54" s="4">
        <v>33.9</v>
      </c>
      <c r="F54" s="4">
        <v>61.5</v>
      </c>
      <c r="G54" s="4">
        <v>245.8</v>
      </c>
      <c r="H54" s="4">
        <v>1.3</v>
      </c>
      <c r="I54" s="4">
        <v>31.8</v>
      </c>
      <c r="J54" s="4">
        <v>114.9</v>
      </c>
      <c r="K54" s="4">
        <v>3.6</v>
      </c>
      <c r="L54" s="4">
        <v>1.2</v>
      </c>
      <c r="M54" s="4">
        <v>65.7</v>
      </c>
      <c r="N54" s="4">
        <v>360.7</v>
      </c>
      <c r="O54" s="4">
        <v>5.5</v>
      </c>
      <c r="P54" s="4">
        <v>11.8</v>
      </c>
      <c r="Q54" s="4">
        <v>6.6</v>
      </c>
      <c r="R54" s="4">
        <v>1.5</v>
      </c>
      <c r="S54" s="4">
        <v>19.9</v>
      </c>
      <c r="T54" s="4">
        <v>6.4</v>
      </c>
      <c r="U54" s="4">
        <v>55.8</v>
      </c>
      <c r="V54" s="4">
        <v>0.6</v>
      </c>
      <c r="W54" s="4">
        <v>1.3</v>
      </c>
      <c r="X54" s="4">
        <v>1.9</v>
      </c>
    </row>
    <row r="55" ht="15.75" customHeight="1">
      <c r="A55" s="7" t="s">
        <v>163</v>
      </c>
      <c r="B55" s="4">
        <v>13.0</v>
      </c>
      <c r="C55" s="4">
        <v>23.8</v>
      </c>
      <c r="D55" s="4">
        <v>21.2</v>
      </c>
      <c r="E55" s="4">
        <v>35.2</v>
      </c>
      <c r="F55" s="4">
        <v>60.2</v>
      </c>
      <c r="G55" s="4">
        <v>257.5</v>
      </c>
      <c r="H55" s="4">
        <v>1.3</v>
      </c>
      <c r="I55" s="4">
        <v>28.2</v>
      </c>
      <c r="J55" s="4">
        <v>111.8</v>
      </c>
      <c r="K55" s="4">
        <v>4.0</v>
      </c>
      <c r="L55" s="4">
        <v>1.6</v>
      </c>
      <c r="M55" s="4">
        <v>63.4</v>
      </c>
      <c r="N55" s="4">
        <v>369.3</v>
      </c>
      <c r="O55" s="4">
        <v>5.8</v>
      </c>
      <c r="P55" s="4">
        <v>10.2</v>
      </c>
      <c r="Q55" s="4">
        <v>5.5</v>
      </c>
      <c r="R55" s="4">
        <v>1.7</v>
      </c>
      <c r="S55" s="4">
        <v>17.3</v>
      </c>
      <c r="T55" s="4">
        <v>5.9</v>
      </c>
      <c r="U55" s="4">
        <v>46.3</v>
      </c>
      <c r="V55" s="4">
        <v>1.2</v>
      </c>
      <c r="W55" s="4">
        <v>0.8</v>
      </c>
      <c r="X55" s="4">
        <v>2.0</v>
      </c>
    </row>
    <row r="56" ht="15.75" customHeight="1">
      <c r="A56" s="7" t="s">
        <v>234</v>
      </c>
      <c r="B56" s="4">
        <v>13.0</v>
      </c>
      <c r="C56" s="4">
        <v>23.8</v>
      </c>
      <c r="D56" s="4">
        <v>16.2</v>
      </c>
      <c r="E56" s="4">
        <v>29.0</v>
      </c>
      <c r="F56" s="4">
        <v>55.7</v>
      </c>
      <c r="G56" s="4">
        <v>166.5</v>
      </c>
      <c r="H56" s="4">
        <v>1.2</v>
      </c>
      <c r="I56" s="4">
        <v>35.5</v>
      </c>
      <c r="J56" s="4">
        <v>161.8</v>
      </c>
      <c r="K56" s="4">
        <v>4.6</v>
      </c>
      <c r="L56" s="4">
        <v>1.5</v>
      </c>
      <c r="M56" s="4">
        <v>64.5</v>
      </c>
      <c r="N56" s="4">
        <v>328.4</v>
      </c>
      <c r="O56" s="4">
        <v>5.1</v>
      </c>
      <c r="P56" s="4">
        <v>8.0</v>
      </c>
      <c r="Q56" s="4">
        <v>9.5</v>
      </c>
      <c r="R56" s="4">
        <v>2.2</v>
      </c>
      <c r="S56" s="4">
        <v>19.7</v>
      </c>
      <c r="T56" s="4">
        <v>5.0</v>
      </c>
      <c r="U56" s="4">
        <v>42.0</v>
      </c>
      <c r="V56" s="4">
        <v>0.5</v>
      </c>
      <c r="W56" s="4">
        <v>0.6</v>
      </c>
      <c r="X56" s="4">
        <v>1.1</v>
      </c>
    </row>
    <row r="57" ht="15.75" customHeight="1">
      <c r="A57" s="7" t="s">
        <v>153</v>
      </c>
      <c r="B57" s="4">
        <v>14.0</v>
      </c>
      <c r="C57" s="4">
        <v>24.1</v>
      </c>
      <c r="D57" s="4">
        <v>19.5</v>
      </c>
      <c r="E57" s="4">
        <v>30.7</v>
      </c>
      <c r="F57" s="4">
        <v>63.5</v>
      </c>
      <c r="G57" s="4">
        <v>194.2</v>
      </c>
      <c r="H57" s="4">
        <v>1.4</v>
      </c>
      <c r="I57" s="4">
        <v>34.1</v>
      </c>
      <c r="J57" s="4">
        <v>154.2</v>
      </c>
      <c r="K57" s="4">
        <v>4.5</v>
      </c>
      <c r="L57" s="4">
        <v>1.4</v>
      </c>
      <c r="M57" s="4">
        <v>64.8</v>
      </c>
      <c r="N57" s="4">
        <v>348.4</v>
      </c>
      <c r="O57" s="4">
        <v>5.4</v>
      </c>
      <c r="P57" s="4">
        <v>9.4</v>
      </c>
      <c r="Q57" s="4">
        <v>9.4</v>
      </c>
      <c r="R57" s="4">
        <v>1.4</v>
      </c>
      <c r="S57" s="4">
        <v>20.1</v>
      </c>
      <c r="T57" s="4">
        <v>5.4</v>
      </c>
      <c r="U57" s="4">
        <v>46.2</v>
      </c>
      <c r="V57" s="4">
        <v>0.4</v>
      </c>
      <c r="W57" s="4">
        <v>1.1</v>
      </c>
      <c r="X57" s="4">
        <v>1.5</v>
      </c>
    </row>
    <row r="58" ht="15.75" customHeight="1">
      <c r="A58" s="7" t="s">
        <v>157</v>
      </c>
      <c r="B58" s="4">
        <v>13.0</v>
      </c>
      <c r="C58" s="4">
        <v>24.1</v>
      </c>
      <c r="D58" s="4">
        <v>20.2</v>
      </c>
      <c r="E58" s="4">
        <v>32.5</v>
      </c>
      <c r="F58" s="4">
        <v>62.3</v>
      </c>
      <c r="G58" s="4">
        <v>236.2</v>
      </c>
      <c r="H58" s="4">
        <v>1.8</v>
      </c>
      <c r="I58" s="4">
        <v>35.7</v>
      </c>
      <c r="J58" s="4">
        <v>132.5</v>
      </c>
      <c r="K58" s="4">
        <v>3.7</v>
      </c>
      <c r="L58" s="4">
        <v>1.2</v>
      </c>
      <c r="M58" s="4">
        <v>68.2</v>
      </c>
      <c r="N58" s="4">
        <v>368.7</v>
      </c>
      <c r="O58" s="4">
        <v>5.4</v>
      </c>
      <c r="P58" s="4">
        <v>9.6</v>
      </c>
      <c r="Q58" s="4">
        <v>8.1</v>
      </c>
      <c r="R58" s="4">
        <v>1.5</v>
      </c>
      <c r="S58" s="4">
        <v>19.2</v>
      </c>
      <c r="T58" s="4">
        <v>4.7</v>
      </c>
      <c r="U58" s="4">
        <v>44.3</v>
      </c>
      <c r="V58" s="4">
        <v>0.5</v>
      </c>
      <c r="W58" s="4">
        <v>0.8</v>
      </c>
      <c r="X58" s="4">
        <v>1.3</v>
      </c>
    </row>
    <row r="59" ht="15.75" customHeight="1">
      <c r="A59" s="7" t="s">
        <v>326</v>
      </c>
      <c r="B59" s="4">
        <v>13.0</v>
      </c>
      <c r="C59" s="4">
        <v>24.1</v>
      </c>
      <c r="D59" s="4">
        <v>22.8</v>
      </c>
      <c r="E59" s="4">
        <v>33.6</v>
      </c>
      <c r="F59" s="4">
        <v>67.7</v>
      </c>
      <c r="G59" s="4">
        <v>235.8</v>
      </c>
      <c r="H59" s="4">
        <v>1.2</v>
      </c>
      <c r="I59" s="4">
        <v>31.1</v>
      </c>
      <c r="J59" s="4">
        <v>141.2</v>
      </c>
      <c r="K59" s="4">
        <v>4.5</v>
      </c>
      <c r="L59" s="4">
        <v>1.5</v>
      </c>
      <c r="M59" s="4">
        <v>64.7</v>
      </c>
      <c r="N59" s="4">
        <v>377.1</v>
      </c>
      <c r="O59" s="4">
        <v>5.8</v>
      </c>
      <c r="P59" s="4">
        <v>11.2</v>
      </c>
      <c r="Q59" s="4">
        <v>7.3</v>
      </c>
      <c r="R59" s="4">
        <v>1.6</v>
      </c>
      <c r="S59" s="4">
        <v>20.2</v>
      </c>
      <c r="T59" s="4">
        <v>6.0</v>
      </c>
      <c r="U59" s="4">
        <v>49.8</v>
      </c>
      <c r="V59" s="4">
        <v>0.5</v>
      </c>
      <c r="W59" s="4">
        <v>0.9</v>
      </c>
      <c r="X59" s="4">
        <v>1.4</v>
      </c>
    </row>
    <row r="60" ht="15.75" customHeight="1">
      <c r="A60" s="7" t="s">
        <v>324</v>
      </c>
      <c r="B60" s="4">
        <v>13.0</v>
      </c>
      <c r="C60" s="4">
        <v>24.3</v>
      </c>
      <c r="D60" s="4">
        <v>17.8</v>
      </c>
      <c r="E60" s="4">
        <v>29.2</v>
      </c>
      <c r="F60" s="4">
        <v>61.1</v>
      </c>
      <c r="G60" s="4">
        <v>224.3</v>
      </c>
      <c r="H60" s="4">
        <v>0.8</v>
      </c>
      <c r="I60" s="4">
        <v>32.7</v>
      </c>
      <c r="J60" s="4">
        <v>140.1</v>
      </c>
      <c r="K60" s="4">
        <v>4.3</v>
      </c>
      <c r="L60" s="4">
        <v>2.0</v>
      </c>
      <c r="M60" s="4">
        <v>61.9</v>
      </c>
      <c r="N60" s="4">
        <v>364.4</v>
      </c>
      <c r="O60" s="4">
        <v>5.9</v>
      </c>
      <c r="P60" s="4">
        <v>9.6</v>
      </c>
      <c r="Q60" s="4">
        <v>7.7</v>
      </c>
      <c r="R60" s="4">
        <v>1.3</v>
      </c>
      <c r="S60" s="4">
        <v>18.6</v>
      </c>
      <c r="T60" s="4">
        <v>7.1</v>
      </c>
      <c r="U60" s="4">
        <v>64.0</v>
      </c>
      <c r="V60" s="4">
        <v>0.6</v>
      </c>
      <c r="W60" s="4">
        <v>0.5</v>
      </c>
      <c r="X60" s="4">
        <v>1.1</v>
      </c>
    </row>
    <row r="61" ht="15.75" customHeight="1">
      <c r="A61" s="7" t="s">
        <v>99</v>
      </c>
      <c r="B61" s="4">
        <v>13.0</v>
      </c>
      <c r="C61" s="4">
        <v>24.5</v>
      </c>
      <c r="D61" s="4">
        <v>18.9</v>
      </c>
      <c r="E61" s="4">
        <v>32.6</v>
      </c>
      <c r="F61" s="4">
        <v>58.0</v>
      </c>
      <c r="G61" s="4">
        <v>213.5</v>
      </c>
      <c r="H61" s="4">
        <v>1.5</v>
      </c>
      <c r="I61" s="4">
        <v>39.9</v>
      </c>
      <c r="J61" s="4">
        <v>149.6</v>
      </c>
      <c r="K61" s="4">
        <v>3.7</v>
      </c>
      <c r="L61" s="4">
        <v>1.2</v>
      </c>
      <c r="M61" s="4">
        <v>72.5</v>
      </c>
      <c r="N61" s="4">
        <v>363.1</v>
      </c>
      <c r="O61" s="4">
        <v>5.0</v>
      </c>
      <c r="P61" s="4">
        <v>9.5</v>
      </c>
      <c r="Q61" s="4">
        <v>8.7</v>
      </c>
      <c r="R61" s="4">
        <v>2.2</v>
      </c>
      <c r="S61" s="4">
        <v>20.3</v>
      </c>
      <c r="T61" s="4">
        <v>6.7</v>
      </c>
      <c r="U61" s="4">
        <v>58.1</v>
      </c>
      <c r="V61" s="4">
        <v>1.1</v>
      </c>
      <c r="W61" s="4">
        <v>1.0</v>
      </c>
      <c r="X61" s="4">
        <v>2.1</v>
      </c>
    </row>
    <row r="62" ht="15.75" customHeight="1">
      <c r="A62" s="7" t="s">
        <v>221</v>
      </c>
      <c r="B62" s="4">
        <v>13.0</v>
      </c>
      <c r="C62" s="4">
        <v>24.5</v>
      </c>
      <c r="D62" s="4">
        <v>17.7</v>
      </c>
      <c r="E62" s="4">
        <v>30.8</v>
      </c>
      <c r="F62" s="4">
        <v>57.4</v>
      </c>
      <c r="G62" s="4">
        <v>214.6</v>
      </c>
      <c r="H62" s="4">
        <v>1.0</v>
      </c>
      <c r="I62" s="4">
        <v>36.8</v>
      </c>
      <c r="J62" s="4">
        <v>143.0</v>
      </c>
      <c r="K62" s="4">
        <v>3.9</v>
      </c>
      <c r="L62" s="4">
        <v>1.8</v>
      </c>
      <c r="M62" s="4">
        <v>67.6</v>
      </c>
      <c r="N62" s="4">
        <v>357.6</v>
      </c>
      <c r="O62" s="4">
        <v>5.3</v>
      </c>
      <c r="P62" s="4">
        <v>9.7</v>
      </c>
      <c r="Q62" s="4">
        <v>7.8</v>
      </c>
      <c r="R62" s="4">
        <v>2.2</v>
      </c>
      <c r="S62" s="4">
        <v>19.7</v>
      </c>
      <c r="T62" s="4">
        <v>6.3</v>
      </c>
      <c r="U62" s="4">
        <v>48.6</v>
      </c>
      <c r="V62" s="4">
        <v>0.7</v>
      </c>
      <c r="W62" s="4">
        <v>0.7</v>
      </c>
      <c r="X62" s="4">
        <v>1.4</v>
      </c>
    </row>
    <row r="63" ht="15.75" customHeight="1">
      <c r="A63" s="7" t="s">
        <v>130</v>
      </c>
      <c r="B63" s="4">
        <v>12.0</v>
      </c>
      <c r="C63" s="4">
        <v>24.6</v>
      </c>
      <c r="D63" s="4">
        <v>17.8</v>
      </c>
      <c r="E63" s="4">
        <v>29.0</v>
      </c>
      <c r="F63" s="4">
        <v>61.2</v>
      </c>
      <c r="G63" s="4">
        <v>222.8</v>
      </c>
      <c r="H63" s="4">
        <v>1.3</v>
      </c>
      <c r="I63" s="4">
        <v>34.5</v>
      </c>
      <c r="J63" s="4">
        <v>162.7</v>
      </c>
      <c r="K63" s="4">
        <v>4.7</v>
      </c>
      <c r="L63" s="4">
        <v>1.3</v>
      </c>
      <c r="M63" s="4">
        <v>63.5</v>
      </c>
      <c r="N63" s="4">
        <v>385.4</v>
      </c>
      <c r="O63" s="4">
        <v>6.1</v>
      </c>
      <c r="P63" s="4">
        <v>9.6</v>
      </c>
      <c r="Q63" s="4">
        <v>7.7</v>
      </c>
      <c r="R63" s="4">
        <v>1.5</v>
      </c>
      <c r="S63" s="4">
        <v>18.8</v>
      </c>
      <c r="T63" s="4">
        <v>5.4</v>
      </c>
      <c r="U63" s="4">
        <v>42.9</v>
      </c>
      <c r="V63" s="4">
        <v>0.8</v>
      </c>
      <c r="W63" s="4">
        <v>0.4</v>
      </c>
      <c r="X63" s="4">
        <v>1.2</v>
      </c>
    </row>
    <row r="64" ht="15.75" customHeight="1">
      <c r="A64" s="7" t="s">
        <v>321</v>
      </c>
      <c r="B64" s="4">
        <v>13.0</v>
      </c>
      <c r="C64" s="4">
        <v>24.6</v>
      </c>
      <c r="D64" s="4">
        <v>17.8</v>
      </c>
      <c r="E64" s="4">
        <v>31.0</v>
      </c>
      <c r="F64" s="4">
        <v>57.6</v>
      </c>
      <c r="G64" s="4">
        <v>185.2</v>
      </c>
      <c r="H64" s="4">
        <v>1.1</v>
      </c>
      <c r="I64" s="4">
        <v>38.2</v>
      </c>
      <c r="J64" s="4">
        <v>160.5</v>
      </c>
      <c r="K64" s="4">
        <v>4.2</v>
      </c>
      <c r="L64" s="4">
        <v>1.6</v>
      </c>
      <c r="M64" s="4">
        <v>69.2</v>
      </c>
      <c r="N64" s="4">
        <v>345.6</v>
      </c>
      <c r="O64" s="4">
        <v>5.0</v>
      </c>
      <c r="P64" s="4">
        <v>8.6</v>
      </c>
      <c r="Q64" s="4">
        <v>10.1</v>
      </c>
      <c r="R64" s="4">
        <v>1.5</v>
      </c>
      <c r="S64" s="4">
        <v>20.2</v>
      </c>
      <c r="T64" s="4">
        <v>5.3</v>
      </c>
      <c r="U64" s="4">
        <v>46.2</v>
      </c>
      <c r="V64" s="4">
        <v>0.5</v>
      </c>
      <c r="W64" s="4">
        <v>0.8</v>
      </c>
      <c r="X64" s="4">
        <v>1.2</v>
      </c>
    </row>
    <row r="65" ht="15.75" customHeight="1">
      <c r="A65" s="7" t="s">
        <v>112</v>
      </c>
      <c r="B65" s="4">
        <v>14.0</v>
      </c>
      <c r="C65" s="4">
        <v>24.6</v>
      </c>
      <c r="D65" s="4">
        <v>13.9</v>
      </c>
      <c r="E65" s="4">
        <v>22.9</v>
      </c>
      <c r="F65" s="4">
        <v>60.7</v>
      </c>
      <c r="G65" s="4">
        <v>176.1</v>
      </c>
      <c r="H65" s="4">
        <v>1.3</v>
      </c>
      <c r="I65" s="4">
        <v>44.2</v>
      </c>
      <c r="J65" s="4">
        <v>221.2</v>
      </c>
      <c r="K65" s="4">
        <v>5.0</v>
      </c>
      <c r="L65" s="4">
        <v>1.9</v>
      </c>
      <c r="M65" s="4">
        <v>67.1</v>
      </c>
      <c r="N65" s="4">
        <v>397.3</v>
      </c>
      <c r="O65" s="4">
        <v>5.9</v>
      </c>
      <c r="P65" s="4">
        <v>7.4</v>
      </c>
      <c r="Q65" s="4">
        <v>11.6</v>
      </c>
      <c r="R65" s="4">
        <v>1.1</v>
      </c>
      <c r="S65" s="4">
        <v>20.1</v>
      </c>
      <c r="T65" s="4">
        <v>5.1</v>
      </c>
      <c r="U65" s="4">
        <v>44.9</v>
      </c>
      <c r="V65" s="4">
        <v>0.7</v>
      </c>
      <c r="W65" s="4">
        <v>0.7</v>
      </c>
      <c r="X65" s="4">
        <v>1.4</v>
      </c>
    </row>
    <row r="66" ht="15.75" customHeight="1">
      <c r="A66" s="7" t="s">
        <v>168</v>
      </c>
      <c r="B66" s="4">
        <v>13.0</v>
      </c>
      <c r="C66" s="4">
        <v>24.8</v>
      </c>
      <c r="D66" s="4">
        <v>19.7</v>
      </c>
      <c r="E66" s="4">
        <v>36.1</v>
      </c>
      <c r="F66" s="4">
        <v>54.6</v>
      </c>
      <c r="G66" s="4">
        <v>216.2</v>
      </c>
      <c r="H66" s="4">
        <v>1.6</v>
      </c>
      <c r="I66" s="4">
        <v>36.5</v>
      </c>
      <c r="J66" s="4">
        <v>139.4</v>
      </c>
      <c r="K66" s="4">
        <v>3.8</v>
      </c>
      <c r="L66" s="4">
        <v>1.1</v>
      </c>
      <c r="M66" s="4">
        <v>72.5</v>
      </c>
      <c r="N66" s="4">
        <v>355.6</v>
      </c>
      <c r="O66" s="4">
        <v>4.9</v>
      </c>
      <c r="P66" s="4">
        <v>9.9</v>
      </c>
      <c r="Q66" s="4">
        <v>8.5</v>
      </c>
      <c r="R66" s="4">
        <v>2.4</v>
      </c>
      <c r="S66" s="4">
        <v>20.8</v>
      </c>
      <c r="T66" s="4">
        <v>6.9</v>
      </c>
      <c r="U66" s="4">
        <v>63.1</v>
      </c>
      <c r="V66" s="4">
        <v>0.4</v>
      </c>
      <c r="W66" s="4">
        <v>1.2</v>
      </c>
      <c r="X66" s="4">
        <v>1.5</v>
      </c>
    </row>
    <row r="67" ht="15.75" customHeight="1">
      <c r="A67" s="7" t="s">
        <v>57</v>
      </c>
      <c r="B67" s="4">
        <v>13.0</v>
      </c>
      <c r="C67" s="4">
        <v>25.0</v>
      </c>
      <c r="D67" s="4">
        <v>19.9</v>
      </c>
      <c r="E67" s="4">
        <v>32.2</v>
      </c>
      <c r="F67" s="4">
        <v>62.0</v>
      </c>
      <c r="G67" s="4">
        <v>246.9</v>
      </c>
      <c r="H67" s="4">
        <v>1.7</v>
      </c>
      <c r="I67" s="4">
        <v>35.6</v>
      </c>
      <c r="J67" s="4">
        <v>129.2</v>
      </c>
      <c r="K67" s="4">
        <v>3.6</v>
      </c>
      <c r="L67" s="4">
        <v>1.2</v>
      </c>
      <c r="M67" s="4">
        <v>67.8</v>
      </c>
      <c r="N67" s="4">
        <v>376.1</v>
      </c>
      <c r="O67" s="4">
        <v>5.5</v>
      </c>
      <c r="P67" s="4">
        <v>11.0</v>
      </c>
      <c r="Q67" s="4">
        <v>6.5</v>
      </c>
      <c r="R67" s="4">
        <v>2.4</v>
      </c>
      <c r="S67" s="4">
        <v>19.9</v>
      </c>
      <c r="T67" s="4">
        <v>6.5</v>
      </c>
      <c r="U67" s="4">
        <v>53.9</v>
      </c>
      <c r="V67" s="4">
        <v>0.4</v>
      </c>
      <c r="W67" s="4">
        <v>0.8</v>
      </c>
      <c r="X67" s="4">
        <v>1.2</v>
      </c>
    </row>
    <row r="68" ht="15.75" customHeight="1">
      <c r="A68" s="7" t="s">
        <v>185</v>
      </c>
      <c r="B68" s="4">
        <v>13.0</v>
      </c>
      <c r="C68" s="4">
        <v>25.2</v>
      </c>
      <c r="D68" s="4">
        <v>21.4</v>
      </c>
      <c r="E68" s="4">
        <v>33.1</v>
      </c>
      <c r="F68" s="4">
        <v>64.7</v>
      </c>
      <c r="G68" s="4">
        <v>248.8</v>
      </c>
      <c r="H68" s="4">
        <v>1.4</v>
      </c>
      <c r="I68" s="4">
        <v>35.0</v>
      </c>
      <c r="J68" s="4">
        <v>142.2</v>
      </c>
      <c r="K68" s="4">
        <v>4.1</v>
      </c>
      <c r="L68" s="4">
        <v>1.5</v>
      </c>
      <c r="M68" s="4">
        <v>68.1</v>
      </c>
      <c r="N68" s="4">
        <v>391.0</v>
      </c>
      <c r="O68" s="4">
        <v>5.7</v>
      </c>
      <c r="P68" s="4">
        <v>11.1</v>
      </c>
      <c r="Q68" s="4">
        <v>7.8</v>
      </c>
      <c r="R68" s="4">
        <v>2.2</v>
      </c>
      <c r="S68" s="4">
        <v>21.1</v>
      </c>
      <c r="T68" s="4">
        <v>5.4</v>
      </c>
      <c r="U68" s="4">
        <v>48.3</v>
      </c>
      <c r="V68" s="4">
        <v>0.3</v>
      </c>
      <c r="W68" s="4">
        <v>1.2</v>
      </c>
      <c r="X68" s="4">
        <v>1.5</v>
      </c>
    </row>
    <row r="69" ht="15.75" customHeight="1">
      <c r="A69" s="7" t="s">
        <v>165</v>
      </c>
      <c r="B69" s="4">
        <v>13.0</v>
      </c>
      <c r="C69" s="4">
        <v>25.3</v>
      </c>
      <c r="D69" s="4">
        <v>18.5</v>
      </c>
      <c r="E69" s="4">
        <v>32.0</v>
      </c>
      <c r="F69" s="4">
        <v>57.7</v>
      </c>
      <c r="G69" s="4">
        <v>214.4</v>
      </c>
      <c r="H69" s="4">
        <v>1.7</v>
      </c>
      <c r="I69" s="4">
        <v>30.1</v>
      </c>
      <c r="J69" s="4">
        <v>112.8</v>
      </c>
      <c r="K69" s="4">
        <v>3.7</v>
      </c>
      <c r="L69" s="4">
        <v>1.2</v>
      </c>
      <c r="M69" s="4">
        <v>62.1</v>
      </c>
      <c r="N69" s="4">
        <v>327.2</v>
      </c>
      <c r="O69" s="4">
        <v>5.3</v>
      </c>
      <c r="P69" s="4">
        <v>9.8</v>
      </c>
      <c r="Q69" s="4">
        <v>6.1</v>
      </c>
      <c r="R69" s="4">
        <v>2.5</v>
      </c>
      <c r="S69" s="4">
        <v>18.4</v>
      </c>
      <c r="T69" s="4">
        <v>5.1</v>
      </c>
      <c r="U69" s="4">
        <v>39.5</v>
      </c>
      <c r="V69" s="4">
        <v>0.3</v>
      </c>
      <c r="W69" s="4">
        <v>1.1</v>
      </c>
      <c r="X69" s="4">
        <v>1.4</v>
      </c>
    </row>
    <row r="70" ht="15.75" customHeight="1">
      <c r="A70" s="7" t="s">
        <v>227</v>
      </c>
      <c r="B70" s="4">
        <v>12.0</v>
      </c>
      <c r="C70" s="4">
        <v>25.3</v>
      </c>
      <c r="D70" s="4">
        <v>22.4</v>
      </c>
      <c r="E70" s="4">
        <v>34.3</v>
      </c>
      <c r="F70" s="4">
        <v>65.5</v>
      </c>
      <c r="G70" s="4">
        <v>244.7</v>
      </c>
      <c r="H70" s="4">
        <v>1.6</v>
      </c>
      <c r="I70" s="4">
        <v>28.8</v>
      </c>
      <c r="J70" s="4">
        <v>96.2</v>
      </c>
      <c r="K70" s="4">
        <v>3.3</v>
      </c>
      <c r="L70" s="4">
        <v>1.4</v>
      </c>
      <c r="M70" s="4">
        <v>63.0</v>
      </c>
      <c r="N70" s="4">
        <v>340.8</v>
      </c>
      <c r="O70" s="4">
        <v>5.4</v>
      </c>
      <c r="P70" s="4">
        <v>11.5</v>
      </c>
      <c r="Q70" s="4">
        <v>5.8</v>
      </c>
      <c r="R70" s="4">
        <v>2.8</v>
      </c>
      <c r="S70" s="4">
        <v>20.2</v>
      </c>
      <c r="T70" s="4">
        <v>4.8</v>
      </c>
      <c r="U70" s="4">
        <v>41.3</v>
      </c>
      <c r="V70" s="4">
        <v>0.3</v>
      </c>
      <c r="W70" s="4">
        <v>0.8</v>
      </c>
      <c r="X70" s="4">
        <v>1.1</v>
      </c>
    </row>
    <row r="71" ht="15.75" customHeight="1">
      <c r="A71" s="7" t="s">
        <v>207</v>
      </c>
      <c r="B71" s="4">
        <v>12.0</v>
      </c>
      <c r="C71" s="4">
        <v>25.4</v>
      </c>
      <c r="D71" s="4">
        <v>15.0</v>
      </c>
      <c r="E71" s="4">
        <v>27.1</v>
      </c>
      <c r="F71" s="4">
        <v>55.4</v>
      </c>
      <c r="G71" s="4">
        <v>173.8</v>
      </c>
      <c r="H71" s="4">
        <v>1.5</v>
      </c>
      <c r="I71" s="4">
        <v>39.3</v>
      </c>
      <c r="J71" s="4">
        <v>160.6</v>
      </c>
      <c r="K71" s="4">
        <v>4.1</v>
      </c>
      <c r="L71" s="4">
        <v>1.4</v>
      </c>
      <c r="M71" s="4">
        <v>66.3</v>
      </c>
      <c r="N71" s="4">
        <v>334.4</v>
      </c>
      <c r="O71" s="4">
        <v>5.0</v>
      </c>
      <c r="P71" s="4">
        <v>7.2</v>
      </c>
      <c r="Q71" s="4">
        <v>9.1</v>
      </c>
      <c r="R71" s="4">
        <v>1.6</v>
      </c>
      <c r="S71" s="4">
        <v>17.8</v>
      </c>
      <c r="T71" s="4">
        <v>6.2</v>
      </c>
      <c r="U71" s="4">
        <v>59.0</v>
      </c>
      <c r="V71" s="4">
        <v>0.3</v>
      </c>
      <c r="W71" s="4">
        <v>0.7</v>
      </c>
      <c r="X71" s="4">
        <v>1.0</v>
      </c>
    </row>
    <row r="72" ht="15.75" customHeight="1">
      <c r="A72" s="7" t="s">
        <v>83</v>
      </c>
      <c r="B72" s="4">
        <v>13.0</v>
      </c>
      <c r="C72" s="4">
        <v>25.4</v>
      </c>
      <c r="D72" s="4">
        <v>19.7</v>
      </c>
      <c r="E72" s="4">
        <v>32.8</v>
      </c>
      <c r="F72" s="4">
        <v>60.0</v>
      </c>
      <c r="G72" s="4">
        <v>231.1</v>
      </c>
      <c r="H72" s="4">
        <v>1.4</v>
      </c>
      <c r="I72" s="4">
        <v>31.2</v>
      </c>
      <c r="J72" s="4">
        <v>162.8</v>
      </c>
      <c r="K72" s="4">
        <v>5.2</v>
      </c>
      <c r="L72" s="4">
        <v>2.0</v>
      </c>
      <c r="M72" s="4">
        <v>64.1</v>
      </c>
      <c r="N72" s="4">
        <v>393.8</v>
      </c>
      <c r="O72" s="4">
        <v>6.1</v>
      </c>
      <c r="P72" s="4">
        <v>9.8</v>
      </c>
      <c r="Q72" s="4">
        <v>8.3</v>
      </c>
      <c r="R72" s="4">
        <v>1.5</v>
      </c>
      <c r="S72" s="4">
        <v>19.7</v>
      </c>
      <c r="T72" s="4">
        <v>6.5</v>
      </c>
      <c r="U72" s="4">
        <v>52.5</v>
      </c>
      <c r="V72" s="4">
        <v>0.4</v>
      </c>
      <c r="W72" s="4">
        <v>0.6</v>
      </c>
      <c r="X72" s="4">
        <v>1.0</v>
      </c>
    </row>
    <row r="73" ht="15.75" customHeight="1">
      <c r="A73" s="7" t="s">
        <v>47</v>
      </c>
      <c r="B73" s="4">
        <v>13.0</v>
      </c>
      <c r="C73" s="4">
        <v>25.6</v>
      </c>
      <c r="D73" s="4">
        <v>19.5</v>
      </c>
      <c r="E73" s="4">
        <v>30.8</v>
      </c>
      <c r="F73" s="4">
        <v>63.1</v>
      </c>
      <c r="G73" s="4">
        <v>220.7</v>
      </c>
      <c r="H73" s="4">
        <v>1.8</v>
      </c>
      <c r="I73" s="4">
        <v>30.0</v>
      </c>
      <c r="J73" s="4">
        <v>122.2</v>
      </c>
      <c r="K73" s="4">
        <v>4.1</v>
      </c>
      <c r="L73" s="4">
        <v>1.2</v>
      </c>
      <c r="M73" s="4">
        <v>60.8</v>
      </c>
      <c r="N73" s="4">
        <v>342.8</v>
      </c>
      <c r="O73" s="4">
        <v>5.6</v>
      </c>
      <c r="P73" s="4">
        <v>9.6</v>
      </c>
      <c r="Q73" s="4">
        <v>7.0</v>
      </c>
      <c r="R73" s="4">
        <v>1.7</v>
      </c>
      <c r="S73" s="4">
        <v>18.3</v>
      </c>
      <c r="T73" s="4">
        <v>4.3</v>
      </c>
      <c r="U73" s="4">
        <v>40.3</v>
      </c>
      <c r="V73" s="4">
        <v>0.5</v>
      </c>
      <c r="W73" s="4">
        <v>0.4</v>
      </c>
      <c r="X73" s="4">
        <v>0.8</v>
      </c>
    </row>
    <row r="74" ht="15.75" customHeight="1">
      <c r="A74" s="7" t="s">
        <v>220</v>
      </c>
      <c r="B74" s="4">
        <v>13.0</v>
      </c>
      <c r="C74" s="4">
        <v>25.8</v>
      </c>
      <c r="D74" s="4">
        <v>20.2</v>
      </c>
      <c r="E74" s="4">
        <v>32.9</v>
      </c>
      <c r="F74" s="4">
        <v>61.2</v>
      </c>
      <c r="G74" s="4">
        <v>234.7</v>
      </c>
      <c r="H74" s="4">
        <v>1.5</v>
      </c>
      <c r="I74" s="4">
        <v>35.2</v>
      </c>
      <c r="J74" s="4">
        <v>159.8</v>
      </c>
      <c r="K74" s="4">
        <v>4.5</v>
      </c>
      <c r="L74" s="4">
        <v>1.6</v>
      </c>
      <c r="M74" s="4">
        <v>68.1</v>
      </c>
      <c r="N74" s="4">
        <v>394.5</v>
      </c>
      <c r="O74" s="4">
        <v>5.8</v>
      </c>
      <c r="P74" s="4">
        <v>10.4</v>
      </c>
      <c r="Q74" s="4">
        <v>7.8</v>
      </c>
      <c r="R74" s="4">
        <v>1.8</v>
      </c>
      <c r="S74" s="4">
        <v>20.0</v>
      </c>
      <c r="T74" s="4">
        <v>6.7</v>
      </c>
      <c r="U74" s="4">
        <v>56.2</v>
      </c>
      <c r="V74" s="4">
        <v>0.8</v>
      </c>
      <c r="W74" s="4">
        <v>0.8</v>
      </c>
      <c r="X74" s="4">
        <v>1.6</v>
      </c>
    </row>
    <row r="75" ht="15.75" customHeight="1">
      <c r="A75" s="7" t="s">
        <v>140</v>
      </c>
      <c r="B75" s="4">
        <v>12.0</v>
      </c>
      <c r="C75" s="4">
        <v>25.8</v>
      </c>
      <c r="D75" s="4">
        <v>17.6</v>
      </c>
      <c r="E75" s="4">
        <v>29.8</v>
      </c>
      <c r="F75" s="4">
        <v>59.1</v>
      </c>
      <c r="G75" s="4">
        <v>179.6</v>
      </c>
      <c r="H75" s="4">
        <v>0.8</v>
      </c>
      <c r="I75" s="4">
        <v>41.0</v>
      </c>
      <c r="J75" s="4">
        <v>191.3</v>
      </c>
      <c r="K75" s="4">
        <v>4.7</v>
      </c>
      <c r="L75" s="4">
        <v>2.3</v>
      </c>
      <c r="M75" s="4">
        <v>70.8</v>
      </c>
      <c r="N75" s="4">
        <v>370.9</v>
      </c>
      <c r="O75" s="4">
        <v>5.2</v>
      </c>
      <c r="P75" s="4">
        <v>8.0</v>
      </c>
      <c r="Q75" s="4">
        <v>10.3</v>
      </c>
      <c r="R75" s="4">
        <v>1.4</v>
      </c>
      <c r="S75" s="4">
        <v>19.7</v>
      </c>
      <c r="T75" s="4">
        <v>6.6</v>
      </c>
      <c r="U75" s="4">
        <v>54.8</v>
      </c>
      <c r="V75" s="4">
        <v>0.4</v>
      </c>
      <c r="W75" s="4">
        <v>0.9</v>
      </c>
      <c r="X75" s="4">
        <v>1.3</v>
      </c>
    </row>
    <row r="76" ht="15.75" customHeight="1">
      <c r="A76" s="7" t="s">
        <v>53</v>
      </c>
      <c r="B76" s="4">
        <v>12.0</v>
      </c>
      <c r="C76" s="4">
        <v>26.0</v>
      </c>
      <c r="D76" s="4">
        <v>19.9</v>
      </c>
      <c r="E76" s="4">
        <v>30.5</v>
      </c>
      <c r="F76" s="4">
        <v>65.3</v>
      </c>
      <c r="G76" s="4">
        <v>211.3</v>
      </c>
      <c r="H76" s="4">
        <v>1.5</v>
      </c>
      <c r="I76" s="4">
        <v>35.5</v>
      </c>
      <c r="J76" s="4">
        <v>165.7</v>
      </c>
      <c r="K76" s="4">
        <v>4.7</v>
      </c>
      <c r="L76" s="4">
        <v>1.7</v>
      </c>
      <c r="M76" s="4">
        <v>66.0</v>
      </c>
      <c r="N76" s="4">
        <v>376.9</v>
      </c>
      <c r="O76" s="4">
        <v>5.7</v>
      </c>
      <c r="P76" s="4">
        <v>9.3</v>
      </c>
      <c r="Q76" s="4">
        <v>8.5</v>
      </c>
      <c r="R76" s="4">
        <v>2.6</v>
      </c>
      <c r="S76" s="4">
        <v>20.3</v>
      </c>
      <c r="T76" s="4">
        <v>6.9</v>
      </c>
      <c r="U76" s="4">
        <v>68.3</v>
      </c>
      <c r="V76" s="4">
        <v>0.4</v>
      </c>
      <c r="W76" s="4">
        <v>0.5</v>
      </c>
      <c r="X76" s="4">
        <v>0.9</v>
      </c>
    </row>
    <row r="77" ht="15.75" customHeight="1">
      <c r="A77" s="7" t="s">
        <v>73</v>
      </c>
      <c r="B77" s="4">
        <v>12.0</v>
      </c>
      <c r="C77" s="4">
        <v>26.0</v>
      </c>
      <c r="D77" s="4">
        <v>18.9</v>
      </c>
      <c r="E77" s="4">
        <v>30.0</v>
      </c>
      <c r="F77" s="4">
        <v>63.1</v>
      </c>
      <c r="G77" s="4">
        <v>239.1</v>
      </c>
      <c r="H77" s="4">
        <v>2.1</v>
      </c>
      <c r="I77" s="4">
        <v>34.3</v>
      </c>
      <c r="J77" s="4">
        <v>153.5</v>
      </c>
      <c r="K77" s="4">
        <v>4.5</v>
      </c>
      <c r="L77" s="4">
        <v>0.8</v>
      </c>
      <c r="M77" s="4">
        <v>64.3</v>
      </c>
      <c r="N77" s="4">
        <v>392.6</v>
      </c>
      <c r="O77" s="4">
        <v>6.1</v>
      </c>
      <c r="P77" s="4">
        <v>10.5</v>
      </c>
      <c r="Q77" s="4">
        <v>9.6</v>
      </c>
      <c r="R77" s="4">
        <v>1.2</v>
      </c>
      <c r="S77" s="4">
        <v>21.3</v>
      </c>
      <c r="T77" s="4">
        <v>4.5</v>
      </c>
      <c r="U77" s="4">
        <v>40.8</v>
      </c>
      <c r="V77" s="4">
        <v>0.4</v>
      </c>
      <c r="W77" s="4">
        <v>1.0</v>
      </c>
      <c r="X77" s="4">
        <v>1.4</v>
      </c>
    </row>
    <row r="78" ht="15.75" customHeight="1">
      <c r="A78" s="7" t="s">
        <v>68</v>
      </c>
      <c r="B78" s="4">
        <v>14.0</v>
      </c>
      <c r="C78" s="4">
        <v>26.1</v>
      </c>
      <c r="D78" s="4">
        <v>17.6</v>
      </c>
      <c r="E78" s="4">
        <v>29.3</v>
      </c>
      <c r="F78" s="4">
        <v>60.2</v>
      </c>
      <c r="G78" s="4">
        <v>218.2</v>
      </c>
      <c r="H78" s="4">
        <v>1.5</v>
      </c>
      <c r="I78" s="4">
        <v>41.0</v>
      </c>
      <c r="J78" s="4">
        <v>174.8</v>
      </c>
      <c r="K78" s="4">
        <v>4.3</v>
      </c>
      <c r="L78" s="4">
        <v>1.5</v>
      </c>
      <c r="M78" s="4">
        <v>70.3</v>
      </c>
      <c r="N78" s="4">
        <v>393.0</v>
      </c>
      <c r="O78" s="4">
        <v>5.6</v>
      </c>
      <c r="P78" s="4">
        <v>10.1</v>
      </c>
      <c r="Q78" s="4">
        <v>9.1</v>
      </c>
      <c r="R78" s="4">
        <v>2.5</v>
      </c>
      <c r="S78" s="4">
        <v>21.7</v>
      </c>
      <c r="T78" s="4">
        <v>6.1</v>
      </c>
      <c r="U78" s="4">
        <v>56.9</v>
      </c>
      <c r="V78" s="4">
        <v>0.9</v>
      </c>
      <c r="W78" s="4">
        <v>0.9</v>
      </c>
      <c r="X78" s="4">
        <v>1.7</v>
      </c>
    </row>
    <row r="79" ht="15.75" customHeight="1">
      <c r="A79" s="7" t="s">
        <v>101</v>
      </c>
      <c r="B79" s="4">
        <v>12.0</v>
      </c>
      <c r="C79" s="4">
        <v>26.1</v>
      </c>
      <c r="D79" s="4">
        <v>17.2</v>
      </c>
      <c r="E79" s="4">
        <v>28.3</v>
      </c>
      <c r="F79" s="4">
        <v>60.8</v>
      </c>
      <c r="G79" s="4">
        <v>206.9</v>
      </c>
      <c r="H79" s="4">
        <v>1.7</v>
      </c>
      <c r="I79" s="4">
        <v>33.7</v>
      </c>
      <c r="J79" s="4">
        <v>125.1</v>
      </c>
      <c r="K79" s="4">
        <v>3.7</v>
      </c>
      <c r="L79" s="4">
        <v>1.6</v>
      </c>
      <c r="M79" s="4">
        <v>61.9</v>
      </c>
      <c r="N79" s="4">
        <v>332.0</v>
      </c>
      <c r="O79" s="4">
        <v>5.4</v>
      </c>
      <c r="P79" s="4">
        <v>10.1</v>
      </c>
      <c r="Q79" s="4">
        <v>6.4</v>
      </c>
      <c r="R79" s="4">
        <v>2.2</v>
      </c>
      <c r="S79" s="4">
        <v>18.7</v>
      </c>
      <c r="T79" s="4">
        <v>4.2</v>
      </c>
      <c r="U79" s="4">
        <v>33.9</v>
      </c>
      <c r="V79" s="4">
        <v>0.2</v>
      </c>
      <c r="W79" s="4">
        <v>0.8</v>
      </c>
      <c r="X79" s="4">
        <v>0.9</v>
      </c>
    </row>
    <row r="80" ht="15.75" customHeight="1">
      <c r="A80" s="7" t="s">
        <v>188</v>
      </c>
      <c r="B80" s="4">
        <v>12.0</v>
      </c>
      <c r="C80" s="4">
        <v>26.3</v>
      </c>
      <c r="D80" s="4">
        <v>20.4</v>
      </c>
      <c r="E80" s="4">
        <v>32.6</v>
      </c>
      <c r="F80" s="4">
        <v>62.7</v>
      </c>
      <c r="G80" s="4">
        <v>231.8</v>
      </c>
      <c r="H80" s="4">
        <v>1.3</v>
      </c>
      <c r="I80" s="4">
        <v>32.5</v>
      </c>
      <c r="J80" s="4">
        <v>129.9</v>
      </c>
      <c r="K80" s="4">
        <v>4.0</v>
      </c>
      <c r="L80" s="4">
        <v>1.8</v>
      </c>
      <c r="M80" s="4">
        <v>65.1</v>
      </c>
      <c r="N80" s="4">
        <v>361.8</v>
      </c>
      <c r="O80" s="4">
        <v>5.6</v>
      </c>
      <c r="P80" s="4">
        <v>10.8</v>
      </c>
      <c r="Q80" s="4">
        <v>7.4</v>
      </c>
      <c r="R80" s="4">
        <v>0.8</v>
      </c>
      <c r="S80" s="4">
        <v>19.1</v>
      </c>
      <c r="T80" s="4">
        <v>3.8</v>
      </c>
      <c r="U80" s="4">
        <v>32.2</v>
      </c>
      <c r="V80" s="4">
        <v>0.5</v>
      </c>
      <c r="W80" s="4">
        <v>0.8</v>
      </c>
      <c r="X80" s="4">
        <v>1.3</v>
      </c>
    </row>
    <row r="81" ht="15.75" customHeight="1">
      <c r="A81" s="7" t="s">
        <v>61</v>
      </c>
      <c r="B81" s="4">
        <v>13.0</v>
      </c>
      <c r="C81" s="4">
        <v>26.4</v>
      </c>
      <c r="D81" s="4">
        <v>20.7</v>
      </c>
      <c r="E81" s="4">
        <v>33.8</v>
      </c>
      <c r="F81" s="4">
        <v>61.3</v>
      </c>
      <c r="G81" s="4">
        <v>245.2</v>
      </c>
      <c r="H81" s="4">
        <v>1.9</v>
      </c>
      <c r="I81" s="4">
        <v>35.9</v>
      </c>
      <c r="J81" s="4">
        <v>146.6</v>
      </c>
      <c r="K81" s="4">
        <v>4.1</v>
      </c>
      <c r="L81" s="4">
        <v>1.3</v>
      </c>
      <c r="M81" s="4">
        <v>69.7</v>
      </c>
      <c r="N81" s="4">
        <v>391.8</v>
      </c>
      <c r="O81" s="4">
        <v>5.6</v>
      </c>
      <c r="P81" s="4">
        <v>11.1</v>
      </c>
      <c r="Q81" s="4">
        <v>7.5</v>
      </c>
      <c r="R81" s="4">
        <v>1.7</v>
      </c>
      <c r="S81" s="4">
        <v>20.2</v>
      </c>
      <c r="T81" s="4">
        <v>4.7</v>
      </c>
      <c r="U81" s="4">
        <v>39.5</v>
      </c>
      <c r="V81" s="4">
        <v>0.7</v>
      </c>
      <c r="W81" s="4">
        <v>1.0</v>
      </c>
      <c r="X81" s="4">
        <v>1.7</v>
      </c>
    </row>
    <row r="82" ht="15.75" customHeight="1">
      <c r="A82" s="7" t="s">
        <v>122</v>
      </c>
      <c r="B82" s="4">
        <v>13.0</v>
      </c>
      <c r="C82" s="4">
        <v>26.7</v>
      </c>
      <c r="D82" s="4">
        <v>18.2</v>
      </c>
      <c r="E82" s="4">
        <v>30.2</v>
      </c>
      <c r="F82" s="4">
        <v>60.3</v>
      </c>
      <c r="G82" s="4">
        <v>234.2</v>
      </c>
      <c r="H82" s="4">
        <v>1.7</v>
      </c>
      <c r="I82" s="4">
        <v>37.8</v>
      </c>
      <c r="J82" s="4">
        <v>152.0</v>
      </c>
      <c r="K82" s="4">
        <v>4.0</v>
      </c>
      <c r="L82" s="4">
        <v>1.2</v>
      </c>
      <c r="M82" s="4">
        <v>68.0</v>
      </c>
      <c r="N82" s="4">
        <v>386.2</v>
      </c>
      <c r="O82" s="4">
        <v>5.7</v>
      </c>
      <c r="P82" s="4">
        <v>10.3</v>
      </c>
      <c r="Q82" s="4">
        <v>8.0</v>
      </c>
      <c r="R82" s="4">
        <v>2.2</v>
      </c>
      <c r="S82" s="4">
        <v>20.5</v>
      </c>
      <c r="T82" s="4">
        <v>5.6</v>
      </c>
      <c r="U82" s="4">
        <v>49.8</v>
      </c>
      <c r="V82" s="4">
        <v>0.5</v>
      </c>
      <c r="W82" s="4">
        <v>1.1</v>
      </c>
      <c r="X82" s="4">
        <v>1.6</v>
      </c>
    </row>
    <row r="83" ht="15.75" customHeight="1">
      <c r="A83" s="7" t="s">
        <v>325</v>
      </c>
      <c r="B83" s="4">
        <v>12.0</v>
      </c>
      <c r="C83" s="4">
        <v>26.9</v>
      </c>
      <c r="D83" s="4">
        <v>20.3</v>
      </c>
      <c r="E83" s="4">
        <v>31.3</v>
      </c>
      <c r="F83" s="4">
        <v>64.9</v>
      </c>
      <c r="G83" s="4">
        <v>218.7</v>
      </c>
      <c r="H83" s="4">
        <v>1.8</v>
      </c>
      <c r="I83" s="4">
        <v>34.3</v>
      </c>
      <c r="J83" s="4">
        <v>120.3</v>
      </c>
      <c r="K83" s="4">
        <v>3.5</v>
      </c>
      <c r="L83" s="4">
        <v>1.2</v>
      </c>
      <c r="M83" s="4">
        <v>65.7</v>
      </c>
      <c r="N83" s="4">
        <v>339.0</v>
      </c>
      <c r="O83" s="4">
        <v>5.2</v>
      </c>
      <c r="P83" s="4">
        <v>10.6</v>
      </c>
      <c r="Q83" s="4">
        <v>6.8</v>
      </c>
      <c r="R83" s="4">
        <v>1.8</v>
      </c>
      <c r="S83" s="4">
        <v>19.3</v>
      </c>
      <c r="T83" s="4">
        <v>6.3</v>
      </c>
      <c r="U83" s="4">
        <v>49.0</v>
      </c>
      <c r="V83" s="4">
        <v>0.2</v>
      </c>
      <c r="W83" s="4">
        <v>0.8</v>
      </c>
      <c r="X83" s="4">
        <v>0.9</v>
      </c>
    </row>
    <row r="84" ht="15.75" customHeight="1">
      <c r="A84" s="7" t="s">
        <v>132</v>
      </c>
      <c r="B84" s="4">
        <v>13.0</v>
      </c>
      <c r="C84" s="4">
        <v>27.3</v>
      </c>
      <c r="D84" s="4">
        <v>19.6</v>
      </c>
      <c r="E84" s="4">
        <v>32.7</v>
      </c>
      <c r="F84" s="4">
        <v>60.0</v>
      </c>
      <c r="G84" s="4">
        <v>235.3</v>
      </c>
      <c r="H84" s="4">
        <v>1.8</v>
      </c>
      <c r="I84" s="4">
        <v>41.8</v>
      </c>
      <c r="J84" s="4">
        <v>169.8</v>
      </c>
      <c r="K84" s="4">
        <v>4.1</v>
      </c>
      <c r="L84" s="4">
        <v>1.6</v>
      </c>
      <c r="M84" s="4">
        <v>74.5</v>
      </c>
      <c r="N84" s="4">
        <v>405.2</v>
      </c>
      <c r="O84" s="4">
        <v>5.4</v>
      </c>
      <c r="P84" s="4">
        <v>10.4</v>
      </c>
      <c r="Q84" s="4">
        <v>8.6</v>
      </c>
      <c r="R84" s="4">
        <v>2.2</v>
      </c>
      <c r="S84" s="4">
        <v>21.2</v>
      </c>
      <c r="T84" s="4">
        <v>6.9</v>
      </c>
      <c r="U84" s="4">
        <v>60.8</v>
      </c>
      <c r="V84" s="4">
        <v>0.6</v>
      </c>
      <c r="W84" s="4">
        <v>1.1</v>
      </c>
      <c r="X84" s="4">
        <v>1.7</v>
      </c>
    </row>
    <row r="85" ht="15.75" customHeight="1">
      <c r="A85" s="7" t="s">
        <v>85</v>
      </c>
      <c r="B85" s="4">
        <v>13.0</v>
      </c>
      <c r="C85" s="4">
        <v>27.5</v>
      </c>
      <c r="D85" s="4">
        <v>20.6</v>
      </c>
      <c r="E85" s="4">
        <v>33.5</v>
      </c>
      <c r="F85" s="4">
        <v>61.6</v>
      </c>
      <c r="G85" s="4">
        <v>232.8</v>
      </c>
      <c r="H85" s="4">
        <v>1.2</v>
      </c>
      <c r="I85" s="4">
        <v>41.9</v>
      </c>
      <c r="J85" s="4">
        <v>147.8</v>
      </c>
      <c r="K85" s="4">
        <v>3.5</v>
      </c>
      <c r="L85" s="4">
        <v>1.9</v>
      </c>
      <c r="M85" s="4">
        <v>75.4</v>
      </c>
      <c r="N85" s="4">
        <v>380.6</v>
      </c>
      <c r="O85" s="4">
        <v>5.0</v>
      </c>
      <c r="P85" s="4">
        <v>10.2</v>
      </c>
      <c r="Q85" s="4">
        <v>9.5</v>
      </c>
      <c r="R85" s="4">
        <v>1.7</v>
      </c>
      <c r="S85" s="4">
        <v>21.5</v>
      </c>
      <c r="T85" s="4">
        <v>8.2</v>
      </c>
      <c r="U85" s="4">
        <v>75.2</v>
      </c>
      <c r="V85" s="4">
        <v>0.5</v>
      </c>
      <c r="W85" s="4">
        <v>1.6</v>
      </c>
      <c r="X85" s="4">
        <v>2.2</v>
      </c>
    </row>
    <row r="86" ht="15.75" customHeight="1">
      <c r="A86" s="7" t="s">
        <v>125</v>
      </c>
      <c r="B86" s="4">
        <v>13.0</v>
      </c>
      <c r="C86" s="4">
        <v>27.6</v>
      </c>
      <c r="D86" s="4">
        <v>21.3</v>
      </c>
      <c r="E86" s="4">
        <v>33.7</v>
      </c>
      <c r="F86" s="4">
        <v>63.2</v>
      </c>
      <c r="G86" s="4">
        <v>259.4</v>
      </c>
      <c r="H86" s="4">
        <v>1.6</v>
      </c>
      <c r="I86" s="4">
        <v>34.4</v>
      </c>
      <c r="J86" s="4">
        <v>170.0</v>
      </c>
      <c r="K86" s="4">
        <v>4.9</v>
      </c>
      <c r="L86" s="4">
        <v>1.8</v>
      </c>
      <c r="M86" s="4">
        <v>68.1</v>
      </c>
      <c r="N86" s="4">
        <v>429.4</v>
      </c>
      <c r="O86" s="4">
        <v>6.3</v>
      </c>
      <c r="P86" s="4">
        <v>11.8</v>
      </c>
      <c r="Q86" s="4">
        <v>8.1</v>
      </c>
      <c r="R86" s="4">
        <v>1.1</v>
      </c>
      <c r="S86" s="4">
        <v>21.0</v>
      </c>
      <c r="T86" s="4">
        <v>8.5</v>
      </c>
      <c r="U86" s="4">
        <v>77.5</v>
      </c>
      <c r="V86" s="4">
        <v>0.5</v>
      </c>
      <c r="W86" s="4">
        <v>1.0</v>
      </c>
      <c r="X86" s="4">
        <v>1.5</v>
      </c>
    </row>
    <row r="87" ht="15.75" customHeight="1">
      <c r="A87" s="7" t="s">
        <v>134</v>
      </c>
      <c r="B87" s="4">
        <v>12.0</v>
      </c>
      <c r="C87" s="4">
        <v>27.9</v>
      </c>
      <c r="D87" s="4">
        <v>16.4</v>
      </c>
      <c r="E87" s="4">
        <v>25.8</v>
      </c>
      <c r="F87" s="4">
        <v>63.8</v>
      </c>
      <c r="G87" s="4">
        <v>220.9</v>
      </c>
      <c r="H87" s="4">
        <v>1.8</v>
      </c>
      <c r="I87" s="4">
        <v>36.3</v>
      </c>
      <c r="J87" s="4">
        <v>162.8</v>
      </c>
      <c r="K87" s="4">
        <v>4.5</v>
      </c>
      <c r="L87" s="4">
        <v>1.6</v>
      </c>
      <c r="M87" s="4">
        <v>62.1</v>
      </c>
      <c r="N87" s="4">
        <v>383.8</v>
      </c>
      <c r="O87" s="4">
        <v>6.2</v>
      </c>
      <c r="P87" s="4">
        <v>8.3</v>
      </c>
      <c r="Q87" s="4">
        <v>8.6</v>
      </c>
      <c r="R87" s="4">
        <v>2.8</v>
      </c>
      <c r="S87" s="4">
        <v>19.7</v>
      </c>
      <c r="T87" s="4">
        <v>7.3</v>
      </c>
      <c r="U87" s="4">
        <v>64.6</v>
      </c>
      <c r="V87" s="4">
        <v>0.8</v>
      </c>
      <c r="W87" s="4">
        <v>0.4</v>
      </c>
      <c r="X87" s="4">
        <v>1.3</v>
      </c>
    </row>
    <row r="88" ht="15.75" customHeight="1">
      <c r="A88" s="7" t="s">
        <v>48</v>
      </c>
      <c r="B88" s="4">
        <v>12.0</v>
      </c>
      <c r="C88" s="4">
        <v>28.0</v>
      </c>
      <c r="D88" s="4">
        <v>17.0</v>
      </c>
      <c r="E88" s="4">
        <v>27.2</v>
      </c>
      <c r="F88" s="4">
        <v>62.6</v>
      </c>
      <c r="G88" s="4">
        <v>201.3</v>
      </c>
      <c r="H88" s="4">
        <v>1.3</v>
      </c>
      <c r="I88" s="4">
        <v>39.8</v>
      </c>
      <c r="J88" s="4">
        <v>184.7</v>
      </c>
      <c r="K88" s="4">
        <v>4.6</v>
      </c>
      <c r="L88" s="4">
        <v>1.8</v>
      </c>
      <c r="M88" s="4">
        <v>66.9</v>
      </c>
      <c r="N88" s="4">
        <v>385.9</v>
      </c>
      <c r="O88" s="4">
        <v>5.8</v>
      </c>
      <c r="P88" s="4">
        <v>9.2</v>
      </c>
      <c r="Q88" s="4">
        <v>9.7</v>
      </c>
      <c r="R88" s="4">
        <v>2.1</v>
      </c>
      <c r="S88" s="4">
        <v>20.9</v>
      </c>
      <c r="T88" s="4">
        <v>4.8</v>
      </c>
      <c r="U88" s="4">
        <v>43.8</v>
      </c>
      <c r="V88" s="4">
        <v>0.2</v>
      </c>
      <c r="W88" s="4">
        <v>0.3</v>
      </c>
      <c r="X88" s="4">
        <v>0.5</v>
      </c>
    </row>
    <row r="89" ht="15.75" customHeight="1">
      <c r="A89" s="7" t="s">
        <v>211</v>
      </c>
      <c r="B89" s="4">
        <v>12.0</v>
      </c>
      <c r="C89" s="4">
        <v>28.0</v>
      </c>
      <c r="D89" s="4">
        <v>19.0</v>
      </c>
      <c r="E89" s="4">
        <v>31.2</v>
      </c>
      <c r="F89" s="4">
        <v>61.0</v>
      </c>
      <c r="G89" s="4">
        <v>237.8</v>
      </c>
      <c r="H89" s="4">
        <v>1.9</v>
      </c>
      <c r="I89" s="4">
        <v>40.4</v>
      </c>
      <c r="J89" s="4">
        <v>172.6</v>
      </c>
      <c r="K89" s="4">
        <v>4.3</v>
      </c>
      <c r="L89" s="4">
        <v>1.5</v>
      </c>
      <c r="M89" s="4">
        <v>71.6</v>
      </c>
      <c r="N89" s="4">
        <v>410.4</v>
      </c>
      <c r="O89" s="4">
        <v>5.7</v>
      </c>
      <c r="P89" s="4">
        <v>9.8</v>
      </c>
      <c r="Q89" s="4">
        <v>9.7</v>
      </c>
      <c r="R89" s="4">
        <v>1.8</v>
      </c>
      <c r="S89" s="4">
        <v>21.3</v>
      </c>
      <c r="T89" s="4">
        <v>5.9</v>
      </c>
      <c r="U89" s="4">
        <v>49.2</v>
      </c>
      <c r="V89" s="4">
        <v>0.4</v>
      </c>
      <c r="W89" s="4">
        <v>1.0</v>
      </c>
      <c r="X89" s="4">
        <v>1.4</v>
      </c>
    </row>
    <row r="90" ht="15.75" customHeight="1">
      <c r="A90" s="7" t="s">
        <v>79</v>
      </c>
      <c r="B90" s="4">
        <v>13.0</v>
      </c>
      <c r="C90" s="4">
        <v>28.1</v>
      </c>
      <c r="D90" s="4">
        <v>16.7</v>
      </c>
      <c r="E90" s="4">
        <v>28.8</v>
      </c>
      <c r="F90" s="4">
        <v>58.0</v>
      </c>
      <c r="G90" s="4">
        <v>226.3</v>
      </c>
      <c r="H90" s="4">
        <v>1.5</v>
      </c>
      <c r="I90" s="4">
        <v>37.9</v>
      </c>
      <c r="J90" s="4">
        <v>149.5</v>
      </c>
      <c r="K90" s="4">
        <v>3.9</v>
      </c>
      <c r="L90" s="4">
        <v>1.6</v>
      </c>
      <c r="M90" s="4">
        <v>66.7</v>
      </c>
      <c r="N90" s="4">
        <v>375.8</v>
      </c>
      <c r="O90" s="4">
        <v>5.6</v>
      </c>
      <c r="P90" s="4">
        <v>8.5</v>
      </c>
      <c r="Q90" s="4">
        <v>8.8</v>
      </c>
      <c r="R90" s="4">
        <v>2.1</v>
      </c>
      <c r="S90" s="4">
        <v>19.5</v>
      </c>
      <c r="T90" s="4">
        <v>6.7</v>
      </c>
      <c r="U90" s="4">
        <v>59.4</v>
      </c>
      <c r="V90" s="4">
        <v>0.5</v>
      </c>
      <c r="W90" s="4">
        <v>0.7</v>
      </c>
      <c r="X90" s="4">
        <v>1.2</v>
      </c>
    </row>
    <row r="91" ht="15.75" customHeight="1">
      <c r="A91" s="7" t="s">
        <v>117</v>
      </c>
      <c r="B91" s="4">
        <v>12.0</v>
      </c>
      <c r="C91" s="4">
        <v>28.3</v>
      </c>
      <c r="D91" s="4">
        <v>17.6</v>
      </c>
      <c r="E91" s="4">
        <v>28.5</v>
      </c>
      <c r="F91" s="4">
        <v>61.7</v>
      </c>
      <c r="G91" s="4">
        <v>218.9</v>
      </c>
      <c r="H91" s="4">
        <v>1.3</v>
      </c>
      <c r="I91" s="4">
        <v>35.0</v>
      </c>
      <c r="J91" s="4">
        <v>191.7</v>
      </c>
      <c r="K91" s="4">
        <v>5.5</v>
      </c>
      <c r="L91" s="4">
        <v>1.8</v>
      </c>
      <c r="M91" s="4">
        <v>63.5</v>
      </c>
      <c r="N91" s="4">
        <v>410.6</v>
      </c>
      <c r="O91" s="4">
        <v>6.5</v>
      </c>
      <c r="P91" s="4">
        <v>9.8</v>
      </c>
      <c r="Q91" s="4">
        <v>8.7</v>
      </c>
      <c r="R91" s="4">
        <v>1.5</v>
      </c>
      <c r="S91" s="4">
        <v>19.9</v>
      </c>
      <c r="T91" s="4">
        <v>7.1</v>
      </c>
      <c r="U91" s="4">
        <v>58.8</v>
      </c>
      <c r="V91" s="4">
        <v>0.4</v>
      </c>
      <c r="W91" s="4">
        <v>0.5</v>
      </c>
      <c r="X91" s="4">
        <v>0.9</v>
      </c>
    </row>
    <row r="92" ht="15.75" customHeight="1">
      <c r="A92" s="7" t="s">
        <v>323</v>
      </c>
      <c r="B92" s="4">
        <v>13.0</v>
      </c>
      <c r="C92" s="4">
        <v>28.4</v>
      </c>
      <c r="D92" s="4">
        <v>21.8</v>
      </c>
      <c r="E92" s="4">
        <v>36.8</v>
      </c>
      <c r="F92" s="4">
        <v>59.2</v>
      </c>
      <c r="G92" s="4">
        <v>265.4</v>
      </c>
      <c r="H92" s="4">
        <v>1.7</v>
      </c>
      <c r="I92" s="4">
        <v>36.6</v>
      </c>
      <c r="J92" s="4">
        <v>112.8</v>
      </c>
      <c r="K92" s="4">
        <v>3.1</v>
      </c>
      <c r="L92" s="4">
        <v>1.4</v>
      </c>
      <c r="M92" s="4">
        <v>73.4</v>
      </c>
      <c r="N92" s="4">
        <v>378.2</v>
      </c>
      <c r="O92" s="4">
        <v>5.2</v>
      </c>
      <c r="P92" s="4">
        <v>11.9</v>
      </c>
      <c r="Q92" s="4">
        <v>6.8</v>
      </c>
      <c r="R92" s="4">
        <v>1.6</v>
      </c>
      <c r="S92" s="4">
        <v>20.4</v>
      </c>
      <c r="T92" s="4">
        <v>7.9</v>
      </c>
      <c r="U92" s="4">
        <v>75.2</v>
      </c>
      <c r="V92" s="4">
        <v>0.4</v>
      </c>
      <c r="W92" s="4">
        <v>1.0</v>
      </c>
      <c r="X92" s="4">
        <v>1.4</v>
      </c>
    </row>
    <row r="93" ht="15.75" customHeight="1">
      <c r="A93" s="7" t="s">
        <v>179</v>
      </c>
      <c r="B93" s="4">
        <v>12.0</v>
      </c>
      <c r="C93" s="4">
        <v>28.4</v>
      </c>
      <c r="D93" s="4">
        <v>18.5</v>
      </c>
      <c r="E93" s="4">
        <v>27.7</v>
      </c>
      <c r="F93" s="4">
        <v>66.9</v>
      </c>
      <c r="G93" s="4">
        <v>221.6</v>
      </c>
      <c r="H93" s="4">
        <v>1.1</v>
      </c>
      <c r="I93" s="4">
        <v>33.8</v>
      </c>
      <c r="J93" s="4">
        <v>145.3</v>
      </c>
      <c r="K93" s="4">
        <v>4.3</v>
      </c>
      <c r="L93" s="4">
        <v>2.0</v>
      </c>
      <c r="M93" s="4">
        <v>61.4</v>
      </c>
      <c r="N93" s="4">
        <v>366.9</v>
      </c>
      <c r="O93" s="4">
        <v>6.0</v>
      </c>
      <c r="P93" s="4">
        <v>8.9</v>
      </c>
      <c r="Q93" s="4">
        <v>7.3</v>
      </c>
      <c r="R93" s="4">
        <v>2.9</v>
      </c>
      <c r="S93" s="4">
        <v>19.2</v>
      </c>
      <c r="T93" s="4">
        <v>5.8</v>
      </c>
      <c r="U93" s="4">
        <v>51.9</v>
      </c>
      <c r="V93" s="4">
        <v>0.3</v>
      </c>
      <c r="W93" s="4">
        <v>0.5</v>
      </c>
      <c r="X93" s="4">
        <v>0.8</v>
      </c>
    </row>
    <row r="94" ht="15.75" customHeight="1">
      <c r="A94" s="7" t="s">
        <v>75</v>
      </c>
      <c r="B94" s="4">
        <v>12.0</v>
      </c>
      <c r="C94" s="4">
        <v>28.8</v>
      </c>
      <c r="D94" s="4">
        <v>16.0</v>
      </c>
      <c r="E94" s="4">
        <v>27.3</v>
      </c>
      <c r="F94" s="4">
        <v>58.7</v>
      </c>
      <c r="G94" s="4">
        <v>183.9</v>
      </c>
      <c r="H94" s="4">
        <v>1.3</v>
      </c>
      <c r="I94" s="4">
        <v>41.2</v>
      </c>
      <c r="J94" s="4">
        <v>200.1</v>
      </c>
      <c r="K94" s="4">
        <v>4.9</v>
      </c>
      <c r="L94" s="4">
        <v>2.3</v>
      </c>
      <c r="M94" s="4">
        <v>68.4</v>
      </c>
      <c r="N94" s="4">
        <v>384.0</v>
      </c>
      <c r="O94" s="4">
        <v>5.6</v>
      </c>
      <c r="P94" s="4">
        <v>8.0</v>
      </c>
      <c r="Q94" s="4">
        <v>12.1</v>
      </c>
      <c r="R94" s="4">
        <v>1.3</v>
      </c>
      <c r="S94" s="4">
        <v>21.3</v>
      </c>
      <c r="T94" s="4">
        <v>6.6</v>
      </c>
      <c r="U94" s="4">
        <v>53.1</v>
      </c>
      <c r="V94" s="4">
        <v>0.7</v>
      </c>
      <c r="W94" s="4">
        <v>0.5</v>
      </c>
      <c r="X94" s="4">
        <v>1.2</v>
      </c>
    </row>
    <row r="95" ht="15.75" customHeight="1">
      <c r="A95" s="7" t="s">
        <v>52</v>
      </c>
      <c r="B95" s="4">
        <v>13.0</v>
      </c>
      <c r="C95" s="4">
        <v>28.8</v>
      </c>
      <c r="D95" s="4">
        <v>16.2</v>
      </c>
      <c r="E95" s="4">
        <v>26.7</v>
      </c>
      <c r="F95" s="4">
        <v>60.5</v>
      </c>
      <c r="G95" s="4">
        <v>198.6</v>
      </c>
      <c r="H95" s="4">
        <v>1.0</v>
      </c>
      <c r="I95" s="4">
        <v>38.2</v>
      </c>
      <c r="J95" s="4">
        <v>192.8</v>
      </c>
      <c r="K95" s="4">
        <v>5.1</v>
      </c>
      <c r="L95" s="4">
        <v>2.4</v>
      </c>
      <c r="M95" s="4">
        <v>64.8</v>
      </c>
      <c r="N95" s="4">
        <v>391.5</v>
      </c>
      <c r="O95" s="4">
        <v>6.0</v>
      </c>
      <c r="P95" s="4">
        <v>9.7</v>
      </c>
      <c r="Q95" s="4">
        <v>10.4</v>
      </c>
      <c r="R95" s="4">
        <v>2.8</v>
      </c>
      <c r="S95" s="4">
        <v>22.8</v>
      </c>
      <c r="T95" s="4">
        <v>5.4</v>
      </c>
      <c r="U95" s="4">
        <v>49.2</v>
      </c>
      <c r="V95" s="4">
        <v>0.2</v>
      </c>
      <c r="W95" s="4">
        <v>0.8</v>
      </c>
      <c r="X95" s="4">
        <v>1.0</v>
      </c>
    </row>
    <row r="96" ht="15.75" customHeight="1">
      <c r="A96" s="7" t="s">
        <v>232</v>
      </c>
      <c r="B96" s="4">
        <v>12.0</v>
      </c>
      <c r="C96" s="4">
        <v>28.8</v>
      </c>
      <c r="D96" s="4">
        <v>20.3</v>
      </c>
      <c r="E96" s="4">
        <v>32.7</v>
      </c>
      <c r="F96" s="4">
        <v>62.0</v>
      </c>
      <c r="G96" s="4">
        <v>263.1</v>
      </c>
      <c r="H96" s="4">
        <v>1.7</v>
      </c>
      <c r="I96" s="4">
        <v>35.2</v>
      </c>
      <c r="J96" s="4">
        <v>145.3</v>
      </c>
      <c r="K96" s="4">
        <v>4.1</v>
      </c>
      <c r="L96" s="4">
        <v>1.7</v>
      </c>
      <c r="M96" s="4">
        <v>67.8</v>
      </c>
      <c r="N96" s="4">
        <v>408.3</v>
      </c>
      <c r="O96" s="4">
        <v>6.0</v>
      </c>
      <c r="P96" s="4">
        <v>10.3</v>
      </c>
      <c r="Q96" s="4">
        <v>8.2</v>
      </c>
      <c r="R96" s="4">
        <v>1.4</v>
      </c>
      <c r="S96" s="4">
        <v>19.8</v>
      </c>
      <c r="T96" s="4">
        <v>7.1</v>
      </c>
      <c r="U96" s="4">
        <v>60.8</v>
      </c>
      <c r="V96" s="4">
        <v>0.5</v>
      </c>
      <c r="W96" s="4">
        <v>0.8</v>
      </c>
      <c r="X96" s="4">
        <v>1.3</v>
      </c>
    </row>
    <row r="97" ht="15.75" customHeight="1">
      <c r="A97" s="7" t="s">
        <v>215</v>
      </c>
      <c r="B97" s="4">
        <v>13.0</v>
      </c>
      <c r="C97" s="4">
        <v>29.2</v>
      </c>
      <c r="D97" s="4">
        <v>20.5</v>
      </c>
      <c r="E97" s="4">
        <v>31.2</v>
      </c>
      <c r="F97" s="4">
        <v>65.9</v>
      </c>
      <c r="G97" s="4">
        <v>227.3</v>
      </c>
      <c r="H97" s="4">
        <v>1.7</v>
      </c>
      <c r="I97" s="4">
        <v>29.9</v>
      </c>
      <c r="J97" s="4">
        <v>150.2</v>
      </c>
      <c r="K97" s="4">
        <v>5.0</v>
      </c>
      <c r="L97" s="4">
        <v>1.5</v>
      </c>
      <c r="M97" s="4">
        <v>61.1</v>
      </c>
      <c r="N97" s="4">
        <v>377.5</v>
      </c>
      <c r="O97" s="4">
        <v>6.2</v>
      </c>
      <c r="P97" s="4">
        <v>10.3</v>
      </c>
      <c r="Q97" s="4">
        <v>7.2</v>
      </c>
      <c r="R97" s="4">
        <v>2.2</v>
      </c>
      <c r="S97" s="4">
        <v>19.6</v>
      </c>
      <c r="T97" s="4">
        <v>5.1</v>
      </c>
      <c r="U97" s="4">
        <v>46.6</v>
      </c>
      <c r="V97" s="4">
        <v>0.4</v>
      </c>
      <c r="W97" s="4">
        <v>0.8</v>
      </c>
      <c r="X97" s="4">
        <v>1.2</v>
      </c>
    </row>
    <row r="98" ht="15.75" customHeight="1">
      <c r="A98" s="7" t="s">
        <v>208</v>
      </c>
      <c r="B98" s="4">
        <v>12.0</v>
      </c>
      <c r="C98" s="4">
        <v>29.6</v>
      </c>
      <c r="D98" s="4">
        <v>18.6</v>
      </c>
      <c r="E98" s="4">
        <v>28.6</v>
      </c>
      <c r="F98" s="4">
        <v>65.0</v>
      </c>
      <c r="G98" s="4">
        <v>214.1</v>
      </c>
      <c r="H98" s="4">
        <v>1.8</v>
      </c>
      <c r="I98" s="4">
        <v>42.4</v>
      </c>
      <c r="J98" s="4">
        <v>207.3</v>
      </c>
      <c r="K98" s="4">
        <v>4.9</v>
      </c>
      <c r="L98" s="4">
        <v>2.1</v>
      </c>
      <c r="M98" s="4">
        <v>71.0</v>
      </c>
      <c r="N98" s="4">
        <v>421.3</v>
      </c>
      <c r="O98" s="4">
        <v>5.9</v>
      </c>
      <c r="P98" s="4">
        <v>9.4</v>
      </c>
      <c r="Q98" s="4">
        <v>11.3</v>
      </c>
      <c r="R98" s="4">
        <v>2.6</v>
      </c>
      <c r="S98" s="4">
        <v>23.3</v>
      </c>
      <c r="T98" s="4">
        <v>6.5</v>
      </c>
      <c r="U98" s="4">
        <v>63.8</v>
      </c>
      <c r="V98" s="4">
        <v>0.4</v>
      </c>
      <c r="W98" s="4">
        <v>0.6</v>
      </c>
      <c r="X98" s="4">
        <v>1.0</v>
      </c>
    </row>
    <row r="99" ht="15.75" customHeight="1">
      <c r="A99" s="7" t="s">
        <v>65</v>
      </c>
      <c r="B99" s="4">
        <v>12.0</v>
      </c>
      <c r="C99" s="4">
        <v>29.7</v>
      </c>
      <c r="D99" s="4">
        <v>16.4</v>
      </c>
      <c r="E99" s="4">
        <v>27.3</v>
      </c>
      <c r="F99" s="4">
        <v>60.1</v>
      </c>
      <c r="G99" s="4">
        <v>193.8</v>
      </c>
      <c r="H99" s="4">
        <v>1.4</v>
      </c>
      <c r="I99" s="4">
        <v>37.1</v>
      </c>
      <c r="J99" s="4">
        <v>169.8</v>
      </c>
      <c r="K99" s="4">
        <v>4.6</v>
      </c>
      <c r="L99" s="4">
        <v>1.7</v>
      </c>
      <c r="M99" s="4">
        <v>64.4</v>
      </c>
      <c r="N99" s="4">
        <v>363.6</v>
      </c>
      <c r="O99" s="4">
        <v>5.6</v>
      </c>
      <c r="P99" s="4">
        <v>8.8</v>
      </c>
      <c r="Q99" s="4">
        <v>8.3</v>
      </c>
      <c r="R99" s="4">
        <v>2.1</v>
      </c>
      <c r="S99" s="4">
        <v>19.1</v>
      </c>
      <c r="T99" s="4">
        <v>6.4</v>
      </c>
      <c r="U99" s="4">
        <v>58.8</v>
      </c>
      <c r="V99" s="4">
        <v>0.3</v>
      </c>
      <c r="W99" s="4">
        <v>0.2</v>
      </c>
      <c r="X99" s="4">
        <v>0.4</v>
      </c>
    </row>
    <row r="100" ht="15.75" customHeight="1">
      <c r="A100" s="7" t="s">
        <v>212</v>
      </c>
      <c r="B100" s="4">
        <v>13.0</v>
      </c>
      <c r="C100" s="4">
        <v>29.8</v>
      </c>
      <c r="D100" s="4">
        <v>21.3</v>
      </c>
      <c r="E100" s="4">
        <v>36.2</v>
      </c>
      <c r="F100" s="4">
        <v>58.8</v>
      </c>
      <c r="G100" s="4">
        <v>278.8</v>
      </c>
      <c r="H100" s="4">
        <v>1.8</v>
      </c>
      <c r="I100" s="4">
        <v>39.2</v>
      </c>
      <c r="J100" s="4">
        <v>158.2</v>
      </c>
      <c r="K100" s="4">
        <v>4.0</v>
      </c>
      <c r="L100" s="4">
        <v>1.9</v>
      </c>
      <c r="M100" s="4">
        <v>75.5</v>
      </c>
      <c r="N100" s="4">
        <v>436.9</v>
      </c>
      <c r="O100" s="4">
        <v>5.8</v>
      </c>
      <c r="P100" s="4">
        <v>11.5</v>
      </c>
      <c r="Q100" s="4">
        <v>8.5</v>
      </c>
      <c r="R100" s="4">
        <v>2.7</v>
      </c>
      <c r="S100" s="4">
        <v>22.7</v>
      </c>
      <c r="T100" s="4">
        <v>8.5</v>
      </c>
      <c r="U100" s="4">
        <v>73.2</v>
      </c>
      <c r="V100" s="4">
        <v>1.0</v>
      </c>
      <c r="W100" s="4">
        <v>0.9</v>
      </c>
      <c r="X100" s="4">
        <v>1.9</v>
      </c>
    </row>
    <row r="101" ht="15.75" customHeight="1">
      <c r="A101" s="7" t="s">
        <v>198</v>
      </c>
      <c r="B101" s="4">
        <v>12.0</v>
      </c>
      <c r="C101" s="4">
        <v>29.9</v>
      </c>
      <c r="D101" s="4">
        <v>15.8</v>
      </c>
      <c r="E101" s="4">
        <v>26.4</v>
      </c>
      <c r="F101" s="4">
        <v>59.9</v>
      </c>
      <c r="G101" s="4">
        <v>214.1</v>
      </c>
      <c r="H101" s="4">
        <v>1.3</v>
      </c>
      <c r="I101" s="4">
        <v>34.9</v>
      </c>
      <c r="J101" s="4">
        <v>185.8</v>
      </c>
      <c r="K101" s="4">
        <v>5.3</v>
      </c>
      <c r="L101" s="4">
        <v>2.2</v>
      </c>
      <c r="M101" s="4">
        <v>61.3</v>
      </c>
      <c r="N101" s="4">
        <v>399.9</v>
      </c>
      <c r="O101" s="4">
        <v>6.5</v>
      </c>
      <c r="P101" s="4">
        <v>9.7</v>
      </c>
      <c r="Q101" s="4">
        <v>9.7</v>
      </c>
      <c r="R101" s="4">
        <v>1.4</v>
      </c>
      <c r="S101" s="4">
        <v>20.8</v>
      </c>
      <c r="T101" s="4">
        <v>5.2</v>
      </c>
      <c r="U101" s="4">
        <v>49.5</v>
      </c>
      <c r="V101" s="4">
        <v>0.6</v>
      </c>
      <c r="W101" s="4">
        <v>0.4</v>
      </c>
      <c r="X101" s="4">
        <v>1.0</v>
      </c>
    </row>
    <row r="102" ht="15.75" customHeight="1">
      <c r="A102" s="7" t="s">
        <v>236</v>
      </c>
      <c r="B102" s="4">
        <v>13.0</v>
      </c>
      <c r="C102" s="4">
        <v>29.9</v>
      </c>
      <c r="D102" s="4">
        <v>23.6</v>
      </c>
      <c r="E102" s="4">
        <v>37.4</v>
      </c>
      <c r="F102" s="4">
        <v>63.2</v>
      </c>
      <c r="G102" s="4">
        <v>270.5</v>
      </c>
      <c r="H102" s="4">
        <v>1.9</v>
      </c>
      <c r="I102" s="4">
        <v>32.8</v>
      </c>
      <c r="J102" s="4">
        <v>172.1</v>
      </c>
      <c r="K102" s="4">
        <v>5.2</v>
      </c>
      <c r="L102" s="4">
        <v>1.8</v>
      </c>
      <c r="M102" s="4">
        <v>70.2</v>
      </c>
      <c r="N102" s="4">
        <v>442.6</v>
      </c>
      <c r="O102" s="4">
        <v>6.3</v>
      </c>
      <c r="P102" s="4">
        <v>12.2</v>
      </c>
      <c r="Q102" s="4">
        <v>8.5</v>
      </c>
      <c r="R102" s="4">
        <v>2.2</v>
      </c>
      <c r="S102" s="4">
        <v>22.8</v>
      </c>
      <c r="T102" s="4">
        <v>7.3</v>
      </c>
      <c r="U102" s="4">
        <v>57.9</v>
      </c>
      <c r="V102" s="4">
        <v>0.6</v>
      </c>
      <c r="W102" s="4">
        <v>1.1</v>
      </c>
      <c r="X102" s="4">
        <v>1.7</v>
      </c>
    </row>
    <row r="103" ht="15.75" customHeight="1">
      <c r="A103" s="7" t="s">
        <v>322</v>
      </c>
      <c r="B103" s="4">
        <v>13.0</v>
      </c>
      <c r="C103" s="4">
        <v>30.1</v>
      </c>
      <c r="D103" s="4">
        <v>18.6</v>
      </c>
      <c r="E103" s="4">
        <v>31.9</v>
      </c>
      <c r="F103" s="4">
        <v>58.3</v>
      </c>
      <c r="G103" s="4">
        <v>265.8</v>
      </c>
      <c r="H103" s="4">
        <v>2.2</v>
      </c>
      <c r="I103" s="4">
        <v>35.5</v>
      </c>
      <c r="J103" s="4">
        <v>109.3</v>
      </c>
      <c r="K103" s="4">
        <v>3.1</v>
      </c>
      <c r="L103" s="4">
        <v>1.5</v>
      </c>
      <c r="M103" s="4">
        <v>67.4</v>
      </c>
      <c r="N103" s="4">
        <v>375.2</v>
      </c>
      <c r="O103" s="4">
        <v>5.6</v>
      </c>
      <c r="P103" s="4">
        <v>9.5</v>
      </c>
      <c r="Q103" s="4">
        <v>6.0</v>
      </c>
      <c r="R103" s="4">
        <v>3.2</v>
      </c>
      <c r="S103" s="4">
        <v>18.8</v>
      </c>
      <c r="T103" s="4">
        <v>6.8</v>
      </c>
      <c r="U103" s="4">
        <v>55.8</v>
      </c>
      <c r="V103" s="4">
        <v>0.8</v>
      </c>
      <c r="W103" s="4">
        <v>0.8</v>
      </c>
      <c r="X103" s="4">
        <v>1.7</v>
      </c>
    </row>
    <row r="104" ht="15.75" customHeight="1">
      <c r="A104" s="7" t="s">
        <v>81</v>
      </c>
      <c r="B104" s="4">
        <v>13.0</v>
      </c>
      <c r="C104" s="4">
        <v>30.2</v>
      </c>
      <c r="D104" s="4">
        <v>20.1</v>
      </c>
      <c r="E104" s="4">
        <v>32.8</v>
      </c>
      <c r="F104" s="4">
        <v>61.3</v>
      </c>
      <c r="G104" s="4">
        <v>233.8</v>
      </c>
      <c r="H104" s="4">
        <v>1.5</v>
      </c>
      <c r="I104" s="4">
        <v>32.4</v>
      </c>
      <c r="J104" s="4">
        <v>157.0</v>
      </c>
      <c r="K104" s="4">
        <v>4.8</v>
      </c>
      <c r="L104" s="4">
        <v>1.9</v>
      </c>
      <c r="M104" s="4">
        <v>65.2</v>
      </c>
      <c r="N104" s="4">
        <v>390.8</v>
      </c>
      <c r="O104" s="4">
        <v>6.0</v>
      </c>
      <c r="P104" s="4">
        <v>10.2</v>
      </c>
      <c r="Q104" s="4">
        <v>7.7</v>
      </c>
      <c r="R104" s="4">
        <v>1.5</v>
      </c>
      <c r="S104" s="4">
        <v>19.5</v>
      </c>
      <c r="T104" s="4">
        <v>6.2</v>
      </c>
      <c r="U104" s="4">
        <v>55.2</v>
      </c>
      <c r="V104" s="4">
        <v>0.8</v>
      </c>
      <c r="W104" s="4">
        <v>0.8</v>
      </c>
      <c r="X104" s="4">
        <v>1.5</v>
      </c>
    </row>
    <row r="105" ht="15.75" customHeight="1">
      <c r="A105" s="7" t="s">
        <v>102</v>
      </c>
      <c r="B105" s="4">
        <v>12.0</v>
      </c>
      <c r="C105" s="4">
        <v>30.3</v>
      </c>
      <c r="D105" s="4">
        <v>17.6</v>
      </c>
      <c r="E105" s="4">
        <v>31.5</v>
      </c>
      <c r="F105" s="4">
        <v>55.8</v>
      </c>
      <c r="G105" s="4">
        <v>233.2</v>
      </c>
      <c r="H105" s="4">
        <v>2.1</v>
      </c>
      <c r="I105" s="4">
        <v>37.5</v>
      </c>
      <c r="J105" s="4">
        <v>183.5</v>
      </c>
      <c r="K105" s="4">
        <v>4.9</v>
      </c>
      <c r="L105" s="4">
        <v>1.5</v>
      </c>
      <c r="M105" s="4">
        <v>69.0</v>
      </c>
      <c r="N105" s="4">
        <v>416.7</v>
      </c>
      <c r="O105" s="4">
        <v>6.0</v>
      </c>
      <c r="P105" s="4">
        <v>9.8</v>
      </c>
      <c r="Q105" s="4">
        <v>9.3</v>
      </c>
      <c r="R105" s="4">
        <v>1.9</v>
      </c>
      <c r="S105" s="4">
        <v>21.0</v>
      </c>
      <c r="T105" s="4">
        <v>6.0</v>
      </c>
      <c r="U105" s="4">
        <v>52.5</v>
      </c>
      <c r="V105" s="4">
        <v>0.6</v>
      </c>
      <c r="W105" s="4">
        <v>0.9</v>
      </c>
      <c r="X105" s="4">
        <v>1.5</v>
      </c>
    </row>
    <row r="106" ht="15.75" customHeight="1">
      <c r="A106" s="7" t="s">
        <v>161</v>
      </c>
      <c r="B106" s="4">
        <v>12.0</v>
      </c>
      <c r="C106" s="4">
        <v>30.4</v>
      </c>
      <c r="D106" s="4">
        <v>20.0</v>
      </c>
      <c r="E106" s="4">
        <v>32.0</v>
      </c>
      <c r="F106" s="4">
        <v>62.5</v>
      </c>
      <c r="G106" s="4">
        <v>241.3</v>
      </c>
      <c r="H106" s="4">
        <v>1.8</v>
      </c>
      <c r="I106" s="4">
        <v>35.6</v>
      </c>
      <c r="J106" s="4">
        <v>136.8</v>
      </c>
      <c r="K106" s="4">
        <v>3.8</v>
      </c>
      <c r="L106" s="4">
        <v>1.6</v>
      </c>
      <c r="M106" s="4">
        <v>67.6</v>
      </c>
      <c r="N106" s="4">
        <v>378.1</v>
      </c>
      <c r="O106" s="4">
        <v>5.6</v>
      </c>
      <c r="P106" s="4">
        <v>10.5</v>
      </c>
      <c r="Q106" s="4">
        <v>8.2</v>
      </c>
      <c r="R106" s="4">
        <v>2.3</v>
      </c>
      <c r="S106" s="4">
        <v>21.0</v>
      </c>
      <c r="T106" s="4">
        <v>6.0</v>
      </c>
      <c r="U106" s="4">
        <v>52.8</v>
      </c>
      <c r="V106" s="4">
        <v>0.7</v>
      </c>
      <c r="W106" s="4">
        <v>0.8</v>
      </c>
      <c r="X106" s="4">
        <v>1.4</v>
      </c>
    </row>
    <row r="107" ht="15.75" customHeight="1">
      <c r="A107" s="7" t="s">
        <v>226</v>
      </c>
      <c r="B107" s="4">
        <v>12.0</v>
      </c>
      <c r="C107" s="4">
        <v>31.2</v>
      </c>
      <c r="D107" s="4">
        <v>20.3</v>
      </c>
      <c r="E107" s="4">
        <v>30.1</v>
      </c>
      <c r="F107" s="4">
        <v>67.3</v>
      </c>
      <c r="G107" s="4">
        <v>236.8</v>
      </c>
      <c r="H107" s="4">
        <v>1.8</v>
      </c>
      <c r="I107" s="4">
        <v>38.2</v>
      </c>
      <c r="J107" s="4">
        <v>175.9</v>
      </c>
      <c r="K107" s="4">
        <v>4.6</v>
      </c>
      <c r="L107" s="4">
        <v>2.1</v>
      </c>
      <c r="M107" s="4">
        <v>68.3</v>
      </c>
      <c r="N107" s="4">
        <v>412.7</v>
      </c>
      <c r="O107" s="4">
        <v>6.0</v>
      </c>
      <c r="P107" s="4">
        <v>9.8</v>
      </c>
      <c r="Q107" s="4">
        <v>9.9</v>
      </c>
      <c r="R107" s="4">
        <v>1.4</v>
      </c>
      <c r="S107" s="4">
        <v>21.1</v>
      </c>
      <c r="T107" s="4">
        <v>5.3</v>
      </c>
      <c r="U107" s="4">
        <v>50.5</v>
      </c>
      <c r="V107" s="4">
        <v>0.7</v>
      </c>
      <c r="W107" s="4">
        <v>0.3</v>
      </c>
      <c r="X107" s="4">
        <v>1.0</v>
      </c>
    </row>
    <row r="108" ht="15.75" customHeight="1">
      <c r="A108" s="7" t="s">
        <v>108</v>
      </c>
      <c r="B108" s="4">
        <v>13.0</v>
      </c>
      <c r="C108" s="4">
        <v>31.3</v>
      </c>
      <c r="D108" s="4">
        <v>16.2</v>
      </c>
      <c r="E108" s="4">
        <v>26.5</v>
      </c>
      <c r="F108" s="4">
        <v>61.3</v>
      </c>
      <c r="G108" s="4">
        <v>222.6</v>
      </c>
      <c r="H108" s="4">
        <v>1.5</v>
      </c>
      <c r="I108" s="4">
        <v>38.5</v>
      </c>
      <c r="J108" s="4">
        <v>192.5</v>
      </c>
      <c r="K108" s="4">
        <v>5.0</v>
      </c>
      <c r="L108" s="4">
        <v>2.2</v>
      </c>
      <c r="M108" s="4">
        <v>64.9</v>
      </c>
      <c r="N108" s="4">
        <v>415.1</v>
      </c>
      <c r="O108" s="4">
        <v>6.4</v>
      </c>
      <c r="P108" s="4">
        <v>9.5</v>
      </c>
      <c r="Q108" s="4">
        <v>10.1</v>
      </c>
      <c r="R108" s="4">
        <v>1.6</v>
      </c>
      <c r="S108" s="4">
        <v>21.2</v>
      </c>
      <c r="T108" s="4">
        <v>4.6</v>
      </c>
      <c r="U108" s="4">
        <v>38.7</v>
      </c>
      <c r="V108" s="4">
        <v>1.0</v>
      </c>
      <c r="W108" s="4">
        <v>0.6</v>
      </c>
      <c r="X108" s="4">
        <v>1.6</v>
      </c>
    </row>
    <row r="109" ht="15.75" customHeight="1">
      <c r="A109" s="7" t="s">
        <v>67</v>
      </c>
      <c r="B109" s="4">
        <v>13.0</v>
      </c>
      <c r="C109" s="4">
        <v>31.6</v>
      </c>
      <c r="D109" s="4">
        <v>18.3</v>
      </c>
      <c r="E109" s="4">
        <v>29.9</v>
      </c>
      <c r="F109" s="4">
        <v>61.2</v>
      </c>
      <c r="G109" s="4">
        <v>227.8</v>
      </c>
      <c r="H109" s="4">
        <v>1.8</v>
      </c>
      <c r="I109" s="4">
        <v>39.4</v>
      </c>
      <c r="J109" s="4">
        <v>186.8</v>
      </c>
      <c r="K109" s="4">
        <v>4.7</v>
      </c>
      <c r="L109" s="4">
        <v>1.7</v>
      </c>
      <c r="M109" s="4">
        <v>69.3</v>
      </c>
      <c r="N109" s="4">
        <v>414.6</v>
      </c>
      <c r="O109" s="4">
        <v>6.0</v>
      </c>
      <c r="P109" s="4">
        <v>9.6</v>
      </c>
      <c r="Q109" s="4">
        <v>9.9</v>
      </c>
      <c r="R109" s="4">
        <v>1.5</v>
      </c>
      <c r="S109" s="4">
        <v>21.0</v>
      </c>
      <c r="T109" s="4">
        <v>6.3</v>
      </c>
      <c r="U109" s="4">
        <v>52.4</v>
      </c>
      <c r="V109" s="4">
        <v>0.8</v>
      </c>
      <c r="W109" s="4">
        <v>0.8</v>
      </c>
      <c r="X109" s="4">
        <v>1.7</v>
      </c>
    </row>
    <row r="110" ht="15.75" customHeight="1">
      <c r="A110" s="7" t="s">
        <v>115</v>
      </c>
      <c r="B110" s="4">
        <v>12.0</v>
      </c>
      <c r="C110" s="4">
        <v>31.8</v>
      </c>
      <c r="D110" s="4">
        <v>18.8</v>
      </c>
      <c r="E110" s="4">
        <v>29.6</v>
      </c>
      <c r="F110" s="4">
        <v>63.7</v>
      </c>
      <c r="G110" s="4">
        <v>239.0</v>
      </c>
      <c r="H110" s="4">
        <v>1.8</v>
      </c>
      <c r="I110" s="4">
        <v>35.8</v>
      </c>
      <c r="J110" s="4">
        <v>174.0</v>
      </c>
      <c r="K110" s="4">
        <v>4.9</v>
      </c>
      <c r="L110" s="4">
        <v>2.1</v>
      </c>
      <c r="M110" s="4">
        <v>65.4</v>
      </c>
      <c r="N110" s="4">
        <v>413.0</v>
      </c>
      <c r="O110" s="4">
        <v>6.3</v>
      </c>
      <c r="P110" s="4">
        <v>9.8</v>
      </c>
      <c r="Q110" s="4">
        <v>9.4</v>
      </c>
      <c r="R110" s="4">
        <v>1.8</v>
      </c>
      <c r="S110" s="4">
        <v>21.0</v>
      </c>
      <c r="T110" s="4">
        <v>5.0</v>
      </c>
      <c r="U110" s="4">
        <v>44.5</v>
      </c>
      <c r="V110" s="4">
        <v>0.7</v>
      </c>
      <c r="W110" s="4">
        <v>0.7</v>
      </c>
      <c r="X110" s="4">
        <v>1.3</v>
      </c>
    </row>
    <row r="111" ht="15.75" customHeight="1">
      <c r="A111" s="7" t="s">
        <v>201</v>
      </c>
      <c r="B111" s="4">
        <v>13.0</v>
      </c>
      <c r="C111" s="4">
        <v>31.9</v>
      </c>
      <c r="D111" s="4">
        <v>19.0</v>
      </c>
      <c r="E111" s="4">
        <v>29.7</v>
      </c>
      <c r="F111" s="4">
        <v>64.0</v>
      </c>
      <c r="G111" s="4">
        <v>270.8</v>
      </c>
      <c r="H111" s="4">
        <v>2.0</v>
      </c>
      <c r="I111" s="4">
        <v>34.2</v>
      </c>
      <c r="J111" s="4">
        <v>144.4</v>
      </c>
      <c r="K111" s="4">
        <v>4.2</v>
      </c>
      <c r="L111" s="4">
        <v>2.2</v>
      </c>
      <c r="M111" s="4">
        <v>63.8</v>
      </c>
      <c r="N111" s="4">
        <v>415.2</v>
      </c>
      <c r="O111" s="4">
        <v>6.5</v>
      </c>
      <c r="P111" s="4">
        <v>12.0</v>
      </c>
      <c r="Q111" s="4">
        <v>8.4</v>
      </c>
      <c r="R111" s="4">
        <v>1.4</v>
      </c>
      <c r="S111" s="4">
        <v>21.8</v>
      </c>
      <c r="T111" s="4">
        <v>5.9</v>
      </c>
      <c r="U111" s="4">
        <v>51.1</v>
      </c>
      <c r="V111" s="4">
        <v>0.5</v>
      </c>
      <c r="W111" s="4">
        <v>0.4</v>
      </c>
      <c r="X111" s="4">
        <v>0.8</v>
      </c>
    </row>
    <row r="112" ht="15.75" customHeight="1">
      <c r="A112" s="7" t="s">
        <v>193</v>
      </c>
      <c r="B112" s="4">
        <v>12.0</v>
      </c>
      <c r="C112" s="4">
        <v>32.0</v>
      </c>
      <c r="D112" s="4">
        <v>18.4</v>
      </c>
      <c r="E112" s="4">
        <v>28.6</v>
      </c>
      <c r="F112" s="4">
        <v>64.4</v>
      </c>
      <c r="G112" s="4">
        <v>231.1</v>
      </c>
      <c r="H112" s="4">
        <v>2.0</v>
      </c>
      <c r="I112" s="4">
        <v>39.7</v>
      </c>
      <c r="J112" s="4">
        <v>183.3</v>
      </c>
      <c r="K112" s="4">
        <v>4.6</v>
      </c>
      <c r="L112" s="4">
        <v>1.9</v>
      </c>
      <c r="M112" s="4">
        <v>68.3</v>
      </c>
      <c r="N112" s="4">
        <v>414.4</v>
      </c>
      <c r="O112" s="4">
        <v>6.1</v>
      </c>
      <c r="P112" s="4">
        <v>10.2</v>
      </c>
      <c r="Q112" s="4">
        <v>8.7</v>
      </c>
      <c r="R112" s="4">
        <v>1.6</v>
      </c>
      <c r="S112" s="4">
        <v>20.4</v>
      </c>
      <c r="T112" s="4">
        <v>6.7</v>
      </c>
      <c r="U112" s="4">
        <v>53.4</v>
      </c>
      <c r="V112" s="4">
        <v>0.6</v>
      </c>
      <c r="W112" s="4">
        <v>0.3</v>
      </c>
      <c r="X112" s="4">
        <v>0.8</v>
      </c>
    </row>
    <row r="113" ht="15.75" customHeight="1">
      <c r="A113" s="7" t="s">
        <v>118</v>
      </c>
      <c r="B113" s="4">
        <v>13.0</v>
      </c>
      <c r="C113" s="4">
        <v>32.2</v>
      </c>
      <c r="D113" s="4">
        <v>18.8</v>
      </c>
      <c r="E113" s="4">
        <v>29.9</v>
      </c>
      <c r="F113" s="4">
        <v>63.0</v>
      </c>
      <c r="G113" s="4">
        <v>250.1</v>
      </c>
      <c r="H113" s="4">
        <v>1.8</v>
      </c>
      <c r="I113" s="4">
        <v>37.2</v>
      </c>
      <c r="J113" s="4">
        <v>211.7</v>
      </c>
      <c r="K113" s="4">
        <v>5.7</v>
      </c>
      <c r="L113" s="4">
        <v>2.5</v>
      </c>
      <c r="M113" s="4">
        <v>67.1</v>
      </c>
      <c r="N113" s="4">
        <v>461.8</v>
      </c>
      <c r="O113" s="4">
        <v>6.9</v>
      </c>
      <c r="P113" s="4">
        <v>10.6</v>
      </c>
      <c r="Q113" s="4">
        <v>10.4</v>
      </c>
      <c r="R113" s="4">
        <v>1.8</v>
      </c>
      <c r="S113" s="4">
        <v>22.8</v>
      </c>
      <c r="T113" s="4">
        <v>7.2</v>
      </c>
      <c r="U113" s="4">
        <v>58.6</v>
      </c>
      <c r="V113" s="4">
        <v>0.5</v>
      </c>
      <c r="W113" s="4">
        <v>1.1</v>
      </c>
      <c r="X113" s="4">
        <v>1.5</v>
      </c>
    </row>
    <row r="114" ht="15.75" customHeight="1">
      <c r="A114" s="7" t="s">
        <v>329</v>
      </c>
      <c r="B114" s="4">
        <v>12.0</v>
      </c>
      <c r="C114" s="4">
        <v>32.3</v>
      </c>
      <c r="D114" s="4">
        <v>18.0</v>
      </c>
      <c r="E114" s="4">
        <v>29.3</v>
      </c>
      <c r="F114" s="4">
        <v>61.4</v>
      </c>
      <c r="G114" s="4">
        <v>223.2</v>
      </c>
      <c r="H114" s="4">
        <v>1.9</v>
      </c>
      <c r="I114" s="4">
        <v>41.8</v>
      </c>
      <c r="J114" s="4">
        <v>179.3</v>
      </c>
      <c r="K114" s="4">
        <v>4.3</v>
      </c>
      <c r="L114" s="4">
        <v>2.1</v>
      </c>
      <c r="M114" s="4">
        <v>71.1</v>
      </c>
      <c r="N114" s="4">
        <v>402.5</v>
      </c>
      <c r="O114" s="4">
        <v>5.7</v>
      </c>
      <c r="P114" s="4">
        <v>10.5</v>
      </c>
      <c r="Q114" s="4">
        <v>8.3</v>
      </c>
      <c r="R114" s="4">
        <v>1.7</v>
      </c>
      <c r="S114" s="4">
        <v>20.5</v>
      </c>
      <c r="T114" s="4">
        <v>5.8</v>
      </c>
      <c r="U114" s="4">
        <v>52.4</v>
      </c>
      <c r="V114" s="4">
        <v>0.6</v>
      </c>
      <c r="W114" s="4">
        <v>0.9</v>
      </c>
      <c r="X114" s="4">
        <v>1.5</v>
      </c>
    </row>
    <row r="115" ht="15.75" customHeight="1">
      <c r="A115" s="7" t="s">
        <v>95</v>
      </c>
      <c r="B115" s="4">
        <v>12.0</v>
      </c>
      <c r="C115" s="4">
        <v>32.5</v>
      </c>
      <c r="D115" s="4">
        <v>26.7</v>
      </c>
      <c r="E115" s="4">
        <v>37.9</v>
      </c>
      <c r="F115" s="4">
        <v>70.3</v>
      </c>
      <c r="G115" s="4">
        <v>277.8</v>
      </c>
      <c r="H115" s="4">
        <v>1.9</v>
      </c>
      <c r="I115" s="4">
        <v>34.5</v>
      </c>
      <c r="J115" s="4">
        <v>157.2</v>
      </c>
      <c r="K115" s="4">
        <v>4.6</v>
      </c>
      <c r="L115" s="4">
        <v>1.7</v>
      </c>
      <c r="M115" s="4">
        <v>72.4</v>
      </c>
      <c r="N115" s="4">
        <v>435.0</v>
      </c>
      <c r="O115" s="4">
        <v>6.0</v>
      </c>
      <c r="P115" s="4">
        <v>14.2</v>
      </c>
      <c r="Q115" s="4">
        <v>10.1</v>
      </c>
      <c r="R115" s="4">
        <v>1.2</v>
      </c>
      <c r="S115" s="4">
        <v>25.4</v>
      </c>
      <c r="T115" s="4">
        <v>6.2</v>
      </c>
      <c r="U115" s="4">
        <v>58.5</v>
      </c>
      <c r="V115" s="4">
        <v>0.5</v>
      </c>
      <c r="W115" s="4">
        <v>0.9</v>
      </c>
      <c r="X115" s="4">
        <v>1.4</v>
      </c>
    </row>
    <row r="116" ht="15.75" customHeight="1">
      <c r="A116" s="7" t="s">
        <v>113</v>
      </c>
      <c r="B116" s="4">
        <v>11.0</v>
      </c>
      <c r="C116" s="4">
        <v>32.9</v>
      </c>
      <c r="D116" s="4">
        <v>17.6</v>
      </c>
      <c r="E116" s="4">
        <v>25.6</v>
      </c>
      <c r="F116" s="4">
        <v>68.8</v>
      </c>
      <c r="G116" s="4">
        <v>214.8</v>
      </c>
      <c r="H116" s="4">
        <v>1.8</v>
      </c>
      <c r="I116" s="4">
        <v>37.4</v>
      </c>
      <c r="J116" s="4">
        <v>197.6</v>
      </c>
      <c r="K116" s="4">
        <v>5.3</v>
      </c>
      <c r="L116" s="4">
        <v>2.2</v>
      </c>
      <c r="M116" s="4">
        <v>63.0</v>
      </c>
      <c r="N116" s="4">
        <v>412.5</v>
      </c>
      <c r="O116" s="4">
        <v>6.5</v>
      </c>
      <c r="P116" s="4">
        <v>8.7</v>
      </c>
      <c r="Q116" s="4">
        <v>10.7</v>
      </c>
      <c r="R116" s="4">
        <v>2.0</v>
      </c>
      <c r="S116" s="4">
        <v>21.5</v>
      </c>
      <c r="T116" s="4">
        <v>7.0</v>
      </c>
      <c r="U116" s="4">
        <v>63.8</v>
      </c>
      <c r="V116" s="4">
        <v>0.8</v>
      </c>
      <c r="W116" s="4">
        <v>0.4</v>
      </c>
      <c r="X116" s="4">
        <v>1.2</v>
      </c>
    </row>
    <row r="117" ht="15.75" customHeight="1">
      <c r="A117" s="7" t="s">
        <v>106</v>
      </c>
      <c r="B117" s="4">
        <v>12.0</v>
      </c>
      <c r="C117" s="4">
        <v>33.7</v>
      </c>
      <c r="D117" s="4">
        <v>21.9</v>
      </c>
      <c r="E117" s="4">
        <v>33.2</v>
      </c>
      <c r="F117" s="4">
        <v>66.1</v>
      </c>
      <c r="G117" s="4">
        <v>280.6</v>
      </c>
      <c r="H117" s="4">
        <v>2.6</v>
      </c>
      <c r="I117" s="4">
        <v>31.6</v>
      </c>
      <c r="J117" s="4">
        <v>133.5</v>
      </c>
      <c r="K117" s="4">
        <v>4.2</v>
      </c>
      <c r="L117" s="4">
        <v>1.8</v>
      </c>
      <c r="M117" s="4">
        <v>64.8</v>
      </c>
      <c r="N117" s="4">
        <v>414.1</v>
      </c>
      <c r="O117" s="4">
        <v>6.4</v>
      </c>
      <c r="P117" s="4">
        <v>12.4</v>
      </c>
      <c r="Q117" s="4">
        <v>7.3</v>
      </c>
      <c r="R117" s="4">
        <v>1.5</v>
      </c>
      <c r="S117" s="4">
        <v>21.2</v>
      </c>
      <c r="T117" s="4">
        <v>6.8</v>
      </c>
      <c r="U117" s="4">
        <v>61.8</v>
      </c>
      <c r="V117" s="4">
        <v>0.7</v>
      </c>
      <c r="W117" s="4">
        <v>0.8</v>
      </c>
      <c r="X117" s="4">
        <v>1.4</v>
      </c>
    </row>
    <row r="118" ht="15.75" customHeight="1">
      <c r="A118" s="7" t="s">
        <v>138</v>
      </c>
      <c r="B118" s="4">
        <v>12.0</v>
      </c>
      <c r="C118" s="4">
        <v>33.8</v>
      </c>
      <c r="D118" s="4">
        <v>17.0</v>
      </c>
      <c r="E118" s="4">
        <v>26.9</v>
      </c>
      <c r="F118" s="4">
        <v>63.2</v>
      </c>
      <c r="G118" s="4">
        <v>208.3</v>
      </c>
      <c r="H118" s="4">
        <v>1.8</v>
      </c>
      <c r="I118" s="4">
        <v>40.3</v>
      </c>
      <c r="J118" s="4">
        <v>210.3</v>
      </c>
      <c r="K118" s="4">
        <v>5.2</v>
      </c>
      <c r="L118" s="4">
        <v>2.3</v>
      </c>
      <c r="M118" s="4">
        <v>67.2</v>
      </c>
      <c r="N118" s="4">
        <v>418.7</v>
      </c>
      <c r="O118" s="4">
        <v>6.2</v>
      </c>
      <c r="P118" s="4">
        <v>9.8</v>
      </c>
      <c r="Q118" s="4">
        <v>10.8</v>
      </c>
      <c r="R118" s="4">
        <v>1.5</v>
      </c>
      <c r="S118" s="4">
        <v>22.1</v>
      </c>
      <c r="T118" s="4">
        <v>6.6</v>
      </c>
      <c r="U118" s="4">
        <v>58.3</v>
      </c>
      <c r="V118" s="4">
        <v>0.7</v>
      </c>
      <c r="W118" s="4">
        <v>0.8</v>
      </c>
      <c r="X118" s="4">
        <v>1.4</v>
      </c>
    </row>
    <row r="119" ht="15.75" customHeight="1">
      <c r="A119" s="7" t="s">
        <v>173</v>
      </c>
      <c r="B119" s="4">
        <v>12.0</v>
      </c>
      <c r="C119" s="4">
        <v>34.1</v>
      </c>
      <c r="D119" s="4">
        <v>20.0</v>
      </c>
      <c r="E119" s="4">
        <v>28.4</v>
      </c>
      <c r="F119" s="4">
        <v>70.4</v>
      </c>
      <c r="G119" s="4">
        <v>239.5</v>
      </c>
      <c r="H119" s="4">
        <v>1.9</v>
      </c>
      <c r="I119" s="4">
        <v>43.6</v>
      </c>
      <c r="J119" s="4">
        <v>216.9</v>
      </c>
      <c r="K119" s="4">
        <v>5.0</v>
      </c>
      <c r="L119" s="4">
        <v>2.0</v>
      </c>
      <c r="M119" s="4">
        <v>72.0</v>
      </c>
      <c r="N119" s="4">
        <v>456.4</v>
      </c>
      <c r="O119" s="4">
        <v>6.3</v>
      </c>
      <c r="P119" s="4">
        <v>11.3</v>
      </c>
      <c r="Q119" s="4">
        <v>10.8</v>
      </c>
      <c r="R119" s="4">
        <v>1.8</v>
      </c>
      <c r="S119" s="4">
        <v>23.8</v>
      </c>
      <c r="T119" s="4">
        <v>6.3</v>
      </c>
      <c r="U119" s="4">
        <v>58.8</v>
      </c>
      <c r="V119" s="4">
        <v>0.4</v>
      </c>
      <c r="W119" s="4">
        <v>0.6</v>
      </c>
      <c r="X119" s="4">
        <v>1.0</v>
      </c>
    </row>
    <row r="120" ht="15.75" customHeight="1">
      <c r="A120" s="7" t="s">
        <v>184</v>
      </c>
      <c r="B120" s="4">
        <v>13.0</v>
      </c>
      <c r="C120" s="4">
        <v>34.2</v>
      </c>
      <c r="D120" s="4">
        <v>20.1</v>
      </c>
      <c r="E120" s="4">
        <v>32.8</v>
      </c>
      <c r="F120" s="4">
        <v>61.3</v>
      </c>
      <c r="G120" s="4">
        <v>264.6</v>
      </c>
      <c r="H120" s="4">
        <v>1.8</v>
      </c>
      <c r="I120" s="4">
        <v>41.8</v>
      </c>
      <c r="J120" s="4">
        <v>195.9</v>
      </c>
      <c r="K120" s="4">
        <v>4.7</v>
      </c>
      <c r="L120" s="4">
        <v>2.2</v>
      </c>
      <c r="M120" s="4">
        <v>74.6</v>
      </c>
      <c r="N120" s="4">
        <v>460.5</v>
      </c>
      <c r="O120" s="4">
        <v>6.2</v>
      </c>
      <c r="P120" s="4">
        <v>11.0</v>
      </c>
      <c r="Q120" s="4">
        <v>10.2</v>
      </c>
      <c r="R120" s="4">
        <v>1.8</v>
      </c>
      <c r="S120" s="4">
        <v>23.0</v>
      </c>
      <c r="T120" s="4">
        <v>7.0</v>
      </c>
      <c r="U120" s="4">
        <v>63.8</v>
      </c>
      <c r="V120" s="4">
        <v>0.4</v>
      </c>
      <c r="W120" s="4">
        <v>0.8</v>
      </c>
      <c r="X120" s="4">
        <v>1.2</v>
      </c>
    </row>
    <row r="121" ht="15.75" customHeight="1">
      <c r="A121" s="7" t="s">
        <v>169</v>
      </c>
      <c r="B121" s="4">
        <v>12.0</v>
      </c>
      <c r="C121" s="4">
        <v>34.3</v>
      </c>
      <c r="D121" s="4">
        <v>19.3</v>
      </c>
      <c r="E121" s="4">
        <v>28.6</v>
      </c>
      <c r="F121" s="4">
        <v>67.3</v>
      </c>
      <c r="G121" s="4">
        <v>252.2</v>
      </c>
      <c r="H121" s="4">
        <v>2.3</v>
      </c>
      <c r="I121" s="4">
        <v>38.8</v>
      </c>
      <c r="J121" s="4">
        <v>197.0</v>
      </c>
      <c r="K121" s="4">
        <v>5.1</v>
      </c>
      <c r="L121" s="4">
        <v>2.2</v>
      </c>
      <c r="M121" s="4">
        <v>67.3</v>
      </c>
      <c r="N121" s="4">
        <v>449.2</v>
      </c>
      <c r="O121" s="4">
        <v>6.7</v>
      </c>
      <c r="P121" s="4">
        <v>11.6</v>
      </c>
      <c r="Q121" s="4">
        <v>10.3</v>
      </c>
      <c r="R121" s="4">
        <v>1.5</v>
      </c>
      <c r="S121" s="4">
        <v>23.4</v>
      </c>
      <c r="T121" s="4">
        <v>5.5</v>
      </c>
      <c r="U121" s="4">
        <v>50.9</v>
      </c>
      <c r="V121" s="4">
        <v>0.4</v>
      </c>
      <c r="W121" s="4">
        <v>0.4</v>
      </c>
      <c r="X121" s="4">
        <v>0.8</v>
      </c>
    </row>
    <row r="122" ht="15.75" customHeight="1">
      <c r="A122" s="7" t="s">
        <v>328</v>
      </c>
      <c r="B122" s="4">
        <v>12.0</v>
      </c>
      <c r="C122" s="4">
        <v>34.3</v>
      </c>
      <c r="D122" s="4">
        <v>14.5</v>
      </c>
      <c r="E122" s="4">
        <v>26.5</v>
      </c>
      <c r="F122" s="4">
        <v>54.7</v>
      </c>
      <c r="G122" s="4">
        <v>180.3</v>
      </c>
      <c r="H122" s="4">
        <v>1.5</v>
      </c>
      <c r="I122" s="4">
        <v>42.1</v>
      </c>
      <c r="J122" s="4">
        <v>212.9</v>
      </c>
      <c r="K122" s="4">
        <v>5.1</v>
      </c>
      <c r="L122" s="4">
        <v>2.6</v>
      </c>
      <c r="M122" s="4">
        <v>68.6</v>
      </c>
      <c r="N122" s="4">
        <v>393.3</v>
      </c>
      <c r="O122" s="4">
        <v>5.7</v>
      </c>
      <c r="P122" s="4">
        <v>7.5</v>
      </c>
      <c r="Q122" s="4">
        <v>11.8</v>
      </c>
      <c r="R122" s="4">
        <v>2.7</v>
      </c>
      <c r="S122" s="4">
        <v>21.9</v>
      </c>
      <c r="T122" s="4">
        <v>6.3</v>
      </c>
      <c r="U122" s="4">
        <v>59.6</v>
      </c>
      <c r="V122" s="4">
        <v>0.4</v>
      </c>
      <c r="W122" s="4">
        <v>0.7</v>
      </c>
      <c r="X122" s="4">
        <v>1.1</v>
      </c>
    </row>
    <row r="123" ht="15.75" customHeight="1">
      <c r="A123" s="7" t="s">
        <v>223</v>
      </c>
      <c r="B123" s="4">
        <v>13.0</v>
      </c>
      <c r="C123" s="4">
        <v>34.8</v>
      </c>
      <c r="D123" s="4">
        <v>23.4</v>
      </c>
      <c r="E123" s="4">
        <v>36.5</v>
      </c>
      <c r="F123" s="4">
        <v>64.0</v>
      </c>
      <c r="G123" s="4">
        <v>308.1</v>
      </c>
      <c r="H123" s="4">
        <v>2.2</v>
      </c>
      <c r="I123" s="4">
        <v>34.1</v>
      </c>
      <c r="J123" s="4">
        <v>152.1</v>
      </c>
      <c r="K123" s="4">
        <v>4.5</v>
      </c>
      <c r="L123" s="4">
        <v>2.2</v>
      </c>
      <c r="M123" s="4">
        <v>70.6</v>
      </c>
      <c r="N123" s="4">
        <v>460.2</v>
      </c>
      <c r="O123" s="4">
        <v>6.5</v>
      </c>
      <c r="P123" s="4">
        <v>13.5</v>
      </c>
      <c r="Q123" s="4">
        <v>7.6</v>
      </c>
      <c r="R123" s="4">
        <v>2.1</v>
      </c>
      <c r="S123" s="4">
        <v>23.2</v>
      </c>
      <c r="T123" s="4">
        <v>6.5</v>
      </c>
      <c r="U123" s="4">
        <v>54.3</v>
      </c>
      <c r="V123" s="4">
        <v>0.6</v>
      </c>
      <c r="W123" s="4">
        <v>1.1</v>
      </c>
      <c r="X123" s="4">
        <v>1.7</v>
      </c>
    </row>
    <row r="124" ht="15.75" customHeight="1">
      <c r="A124" s="7" t="s">
        <v>146</v>
      </c>
      <c r="B124" s="4">
        <v>12.0</v>
      </c>
      <c r="C124" s="4">
        <v>35.1</v>
      </c>
      <c r="D124" s="4">
        <v>17.2</v>
      </c>
      <c r="E124" s="4">
        <v>28.6</v>
      </c>
      <c r="F124" s="4">
        <v>60.1</v>
      </c>
      <c r="G124" s="4">
        <v>222.8</v>
      </c>
      <c r="H124" s="4">
        <v>1.5</v>
      </c>
      <c r="I124" s="4">
        <v>40.3</v>
      </c>
      <c r="J124" s="4">
        <v>210.3</v>
      </c>
      <c r="K124" s="4">
        <v>5.2</v>
      </c>
      <c r="L124" s="4">
        <v>2.4</v>
      </c>
      <c r="M124" s="4">
        <v>68.8</v>
      </c>
      <c r="N124" s="4">
        <v>433.2</v>
      </c>
      <c r="O124" s="4">
        <v>6.3</v>
      </c>
      <c r="P124" s="4">
        <v>9.2</v>
      </c>
      <c r="Q124" s="4">
        <v>11.5</v>
      </c>
      <c r="R124" s="4">
        <v>2.4</v>
      </c>
      <c r="S124" s="4">
        <v>23.1</v>
      </c>
      <c r="T124" s="4">
        <v>6.6</v>
      </c>
      <c r="U124" s="4">
        <v>56.8</v>
      </c>
      <c r="V124" s="4">
        <v>0.2</v>
      </c>
      <c r="W124" s="4">
        <v>0.8</v>
      </c>
      <c r="X124" s="4">
        <v>1.0</v>
      </c>
    </row>
    <row r="125" ht="15.75" customHeight="1">
      <c r="A125" s="7" t="s">
        <v>104</v>
      </c>
      <c r="B125" s="4">
        <v>12.0</v>
      </c>
      <c r="C125" s="4">
        <v>35.4</v>
      </c>
      <c r="D125" s="4">
        <v>16.3</v>
      </c>
      <c r="E125" s="4">
        <v>27.8</v>
      </c>
      <c r="F125" s="4">
        <v>58.9</v>
      </c>
      <c r="G125" s="4">
        <v>191.7</v>
      </c>
      <c r="H125" s="4">
        <v>1.7</v>
      </c>
      <c r="I125" s="4">
        <v>40.8</v>
      </c>
      <c r="J125" s="4">
        <v>226.1</v>
      </c>
      <c r="K125" s="4">
        <v>5.5</v>
      </c>
      <c r="L125" s="4">
        <v>2.5</v>
      </c>
      <c r="M125" s="4">
        <v>68.6</v>
      </c>
      <c r="N125" s="4">
        <v>417.8</v>
      </c>
      <c r="O125" s="4">
        <v>6.1</v>
      </c>
      <c r="P125" s="4">
        <v>8.4</v>
      </c>
      <c r="Q125" s="4">
        <v>10.0</v>
      </c>
      <c r="R125" s="4">
        <v>1.6</v>
      </c>
      <c r="S125" s="4">
        <v>20.0</v>
      </c>
      <c r="T125" s="4">
        <v>5.4</v>
      </c>
      <c r="U125" s="4">
        <v>47.1</v>
      </c>
      <c r="V125" s="4">
        <v>0.5</v>
      </c>
      <c r="W125" s="4">
        <v>0.8</v>
      </c>
      <c r="X125" s="4">
        <v>1.3</v>
      </c>
    </row>
    <row r="126" ht="15.75" customHeight="1">
      <c r="A126" s="7" t="s">
        <v>135</v>
      </c>
      <c r="B126" s="4">
        <v>12.0</v>
      </c>
      <c r="C126" s="4">
        <v>35.5</v>
      </c>
      <c r="D126" s="4">
        <v>13.0</v>
      </c>
      <c r="E126" s="4">
        <v>22.4</v>
      </c>
      <c r="F126" s="4">
        <v>58.0</v>
      </c>
      <c r="G126" s="4">
        <v>176.6</v>
      </c>
      <c r="H126" s="4">
        <v>1.6</v>
      </c>
      <c r="I126" s="4">
        <v>37.8</v>
      </c>
      <c r="J126" s="4">
        <v>197.9</v>
      </c>
      <c r="K126" s="4">
        <v>5.2</v>
      </c>
      <c r="L126" s="4">
        <v>2.7</v>
      </c>
      <c r="M126" s="4">
        <v>60.3</v>
      </c>
      <c r="N126" s="4">
        <v>374.5</v>
      </c>
      <c r="O126" s="4">
        <v>6.2</v>
      </c>
      <c r="P126" s="4">
        <v>7.4</v>
      </c>
      <c r="Q126" s="4">
        <v>10.6</v>
      </c>
      <c r="R126" s="4">
        <v>2.3</v>
      </c>
      <c r="S126" s="4">
        <v>20.3</v>
      </c>
      <c r="T126" s="4">
        <v>6.0</v>
      </c>
      <c r="U126" s="4">
        <v>53.3</v>
      </c>
      <c r="V126" s="4">
        <v>0.3</v>
      </c>
      <c r="W126" s="4">
        <v>0.5</v>
      </c>
      <c r="X126" s="4">
        <v>0.8</v>
      </c>
    </row>
    <row r="127" ht="15.75" customHeight="1">
      <c r="A127" s="7" t="s">
        <v>194</v>
      </c>
      <c r="B127" s="4">
        <v>12.0</v>
      </c>
      <c r="C127" s="4">
        <v>35.6</v>
      </c>
      <c r="D127" s="4">
        <v>21.2</v>
      </c>
      <c r="E127" s="4">
        <v>33.8</v>
      </c>
      <c r="F127" s="4">
        <v>62.7</v>
      </c>
      <c r="G127" s="4">
        <v>285.6</v>
      </c>
      <c r="H127" s="4">
        <v>2.2</v>
      </c>
      <c r="I127" s="4">
        <v>39.8</v>
      </c>
      <c r="J127" s="4">
        <v>215.0</v>
      </c>
      <c r="K127" s="4">
        <v>5.4</v>
      </c>
      <c r="L127" s="4">
        <v>2.3</v>
      </c>
      <c r="M127" s="4">
        <v>73.5</v>
      </c>
      <c r="N127" s="4">
        <v>500.6</v>
      </c>
      <c r="O127" s="4">
        <v>6.8</v>
      </c>
      <c r="P127" s="4">
        <v>12.4</v>
      </c>
      <c r="Q127" s="4">
        <v>11.3</v>
      </c>
      <c r="R127" s="4">
        <v>1.3</v>
      </c>
      <c r="S127" s="4">
        <v>25.0</v>
      </c>
      <c r="T127" s="4">
        <v>5.3</v>
      </c>
      <c r="U127" s="4">
        <v>48.9</v>
      </c>
      <c r="V127" s="4">
        <v>0.3</v>
      </c>
      <c r="W127" s="4">
        <v>1.0</v>
      </c>
      <c r="X127" s="4">
        <v>1.3</v>
      </c>
    </row>
    <row r="128" ht="15.75" customHeight="1">
      <c r="A128" s="7" t="s">
        <v>182</v>
      </c>
      <c r="B128" s="4">
        <v>12.0</v>
      </c>
      <c r="C128" s="4">
        <v>36.3</v>
      </c>
      <c r="D128" s="4">
        <v>18.3</v>
      </c>
      <c r="E128" s="4">
        <v>31.8</v>
      </c>
      <c r="F128" s="4">
        <v>57.7</v>
      </c>
      <c r="G128" s="4">
        <v>251.6</v>
      </c>
      <c r="H128" s="4">
        <v>1.8</v>
      </c>
      <c r="I128" s="4">
        <v>38.3</v>
      </c>
      <c r="J128" s="4">
        <v>195.3</v>
      </c>
      <c r="K128" s="4">
        <v>5.1</v>
      </c>
      <c r="L128" s="4">
        <v>2.4</v>
      </c>
      <c r="M128" s="4">
        <v>70.0</v>
      </c>
      <c r="N128" s="4">
        <v>446.8</v>
      </c>
      <c r="O128" s="4">
        <v>6.4</v>
      </c>
      <c r="P128" s="4">
        <v>10.3</v>
      </c>
      <c r="Q128" s="4">
        <v>9.3</v>
      </c>
      <c r="R128" s="4">
        <v>1.6</v>
      </c>
      <c r="S128" s="4">
        <v>21.3</v>
      </c>
      <c r="T128" s="4">
        <v>7.0</v>
      </c>
      <c r="U128" s="4">
        <v>75.6</v>
      </c>
      <c r="V128" s="4">
        <v>0.1</v>
      </c>
      <c r="W128" s="4">
        <v>0.8</v>
      </c>
      <c r="X128" s="4">
        <v>0.8</v>
      </c>
    </row>
    <row r="129" ht="15.75" customHeight="1">
      <c r="A129" s="7" t="s">
        <v>150</v>
      </c>
      <c r="B129" s="4">
        <v>12.0</v>
      </c>
      <c r="C129" s="4">
        <v>37.8</v>
      </c>
      <c r="D129" s="4">
        <v>17.4</v>
      </c>
      <c r="E129" s="4">
        <v>26.8</v>
      </c>
      <c r="F129" s="4">
        <v>65.1</v>
      </c>
      <c r="G129" s="4">
        <v>216.5</v>
      </c>
      <c r="H129" s="4">
        <v>2.0</v>
      </c>
      <c r="I129" s="4">
        <v>39.5</v>
      </c>
      <c r="J129" s="4">
        <v>232.7</v>
      </c>
      <c r="K129" s="4">
        <v>5.9</v>
      </c>
      <c r="L129" s="4">
        <v>2.6</v>
      </c>
      <c r="M129" s="4">
        <v>66.3</v>
      </c>
      <c r="N129" s="4">
        <v>449.2</v>
      </c>
      <c r="O129" s="4">
        <v>6.8</v>
      </c>
      <c r="P129" s="4">
        <v>9.7</v>
      </c>
      <c r="Q129" s="4">
        <v>10.9</v>
      </c>
      <c r="R129" s="4">
        <v>1.2</v>
      </c>
      <c r="S129" s="4">
        <v>21.8</v>
      </c>
      <c r="T129" s="4">
        <v>6.2</v>
      </c>
      <c r="U129" s="4">
        <v>54.9</v>
      </c>
      <c r="V129" s="4">
        <v>0.3</v>
      </c>
      <c r="W129" s="4">
        <v>0.5</v>
      </c>
      <c r="X129" s="4">
        <v>0.8</v>
      </c>
    </row>
    <row r="130" ht="15.75" customHeight="1">
      <c r="A130" s="7" t="s">
        <v>228</v>
      </c>
      <c r="B130" s="4">
        <v>12.0</v>
      </c>
      <c r="C130" s="4">
        <v>37.8</v>
      </c>
      <c r="D130" s="4">
        <v>22.3</v>
      </c>
      <c r="E130" s="4">
        <v>32.8</v>
      </c>
      <c r="F130" s="4">
        <v>67.9</v>
      </c>
      <c r="G130" s="4">
        <v>255.6</v>
      </c>
      <c r="H130" s="4">
        <v>2.3</v>
      </c>
      <c r="I130" s="4">
        <v>39.8</v>
      </c>
      <c r="J130" s="4">
        <v>214.5</v>
      </c>
      <c r="K130" s="4">
        <v>5.4</v>
      </c>
      <c r="L130" s="4">
        <v>2.3</v>
      </c>
      <c r="M130" s="4">
        <v>72.6</v>
      </c>
      <c r="N130" s="4">
        <v>470.1</v>
      </c>
      <c r="O130" s="4">
        <v>6.5</v>
      </c>
      <c r="P130" s="4">
        <v>12.3</v>
      </c>
      <c r="Q130" s="4">
        <v>9.3</v>
      </c>
      <c r="R130" s="4">
        <v>1.8</v>
      </c>
      <c r="S130" s="4">
        <v>23.4</v>
      </c>
      <c r="T130" s="4">
        <v>7.5</v>
      </c>
      <c r="U130" s="4">
        <v>59.4</v>
      </c>
      <c r="V130" s="4">
        <v>0.3</v>
      </c>
      <c r="W130" s="4">
        <v>1.1</v>
      </c>
      <c r="X130" s="4">
        <v>1.3</v>
      </c>
    </row>
    <row r="131" ht="15.75" customHeight="1">
      <c r="A131" s="7" t="s">
        <v>50</v>
      </c>
      <c r="B131" s="4">
        <v>12.0</v>
      </c>
      <c r="C131" s="4">
        <v>38.0</v>
      </c>
      <c r="D131" s="4">
        <v>21.3</v>
      </c>
      <c r="E131" s="4">
        <v>33.0</v>
      </c>
      <c r="F131" s="4">
        <v>64.6</v>
      </c>
      <c r="G131" s="4">
        <v>279.2</v>
      </c>
      <c r="H131" s="4">
        <v>2.5</v>
      </c>
      <c r="I131" s="4">
        <v>39.3</v>
      </c>
      <c r="J131" s="4">
        <v>212.9</v>
      </c>
      <c r="K131" s="4">
        <v>5.4</v>
      </c>
      <c r="L131" s="4">
        <v>2.3</v>
      </c>
      <c r="M131" s="4">
        <v>72.3</v>
      </c>
      <c r="N131" s="4">
        <v>492.1</v>
      </c>
      <c r="O131" s="4">
        <v>6.8</v>
      </c>
      <c r="P131" s="4">
        <v>11.7</v>
      </c>
      <c r="Q131" s="4">
        <v>10.6</v>
      </c>
      <c r="R131" s="4">
        <v>2.4</v>
      </c>
      <c r="S131" s="4">
        <v>24.7</v>
      </c>
      <c r="T131" s="4">
        <v>7.0</v>
      </c>
      <c r="U131" s="4">
        <v>65.4</v>
      </c>
      <c r="V131" s="4">
        <v>0.6</v>
      </c>
      <c r="W131" s="4">
        <v>0.3</v>
      </c>
      <c r="X131" s="4">
        <v>0.8</v>
      </c>
    </row>
    <row r="132" ht="15.75" customHeight="1">
      <c r="A132" s="7" t="s">
        <v>204</v>
      </c>
      <c r="B132" s="4">
        <v>12.0</v>
      </c>
      <c r="C132" s="4">
        <v>39.9</v>
      </c>
      <c r="D132" s="4">
        <v>18.2</v>
      </c>
      <c r="E132" s="4">
        <v>27.6</v>
      </c>
      <c r="F132" s="4">
        <v>65.9</v>
      </c>
      <c r="G132" s="4">
        <v>252.7</v>
      </c>
      <c r="H132" s="4">
        <v>2.3</v>
      </c>
      <c r="I132" s="4">
        <v>39.3</v>
      </c>
      <c r="J132" s="4">
        <v>200.0</v>
      </c>
      <c r="K132" s="4">
        <v>5.1</v>
      </c>
      <c r="L132" s="4">
        <v>2.8</v>
      </c>
      <c r="M132" s="4">
        <v>66.9</v>
      </c>
      <c r="N132" s="4">
        <v>452.7</v>
      </c>
      <c r="O132" s="4">
        <v>6.8</v>
      </c>
      <c r="P132" s="4">
        <v>11.3</v>
      </c>
      <c r="Q132" s="4">
        <v>11.0</v>
      </c>
      <c r="R132" s="4">
        <v>1.7</v>
      </c>
      <c r="S132" s="4">
        <v>24.0</v>
      </c>
      <c r="T132" s="4">
        <v>5.2</v>
      </c>
      <c r="U132" s="4">
        <v>47.7</v>
      </c>
      <c r="V132" s="4">
        <v>0.1</v>
      </c>
      <c r="W132" s="4">
        <v>0.3</v>
      </c>
      <c r="X132" s="4">
        <v>0.4</v>
      </c>
    </row>
    <row r="133" ht="15.75" customHeight="1">
      <c r="A133" s="7" t="s">
        <v>242</v>
      </c>
      <c r="B133" s="4">
        <v>12.0</v>
      </c>
      <c r="C133" s="4">
        <v>40.1</v>
      </c>
      <c r="D133" s="4">
        <v>19.4</v>
      </c>
      <c r="E133" s="4">
        <v>31.3</v>
      </c>
      <c r="F133" s="4">
        <v>62.0</v>
      </c>
      <c r="G133" s="4">
        <v>279.6</v>
      </c>
      <c r="H133" s="4">
        <v>3.1</v>
      </c>
      <c r="I133" s="4">
        <v>33.7</v>
      </c>
      <c r="J133" s="4">
        <v>175.3</v>
      </c>
      <c r="K133" s="4">
        <v>5.2</v>
      </c>
      <c r="L133" s="4">
        <v>2.0</v>
      </c>
      <c r="M133" s="4">
        <v>65.0</v>
      </c>
      <c r="N133" s="4">
        <v>454.9</v>
      </c>
      <c r="O133" s="4">
        <v>7.0</v>
      </c>
      <c r="P133" s="4">
        <v>12.1</v>
      </c>
      <c r="Q133" s="4">
        <v>8.3</v>
      </c>
      <c r="R133" s="4">
        <v>1.8</v>
      </c>
      <c r="S133" s="4">
        <v>22.3</v>
      </c>
      <c r="T133" s="4">
        <v>5.3</v>
      </c>
      <c r="U133" s="4">
        <v>49.4</v>
      </c>
      <c r="V133" s="4">
        <v>0.7</v>
      </c>
      <c r="W133" s="4">
        <v>0.7</v>
      </c>
      <c r="X133" s="4">
        <v>1.3</v>
      </c>
    </row>
    <row r="134" ht="15.75" customHeight="1">
      <c r="A134" s="7" t="s">
        <v>91</v>
      </c>
      <c r="B134" s="4">
        <v>12.0</v>
      </c>
      <c r="C134" s="4">
        <v>42.5</v>
      </c>
      <c r="D134" s="4">
        <v>21.8</v>
      </c>
      <c r="E134" s="4">
        <v>33.0</v>
      </c>
      <c r="F134" s="4">
        <v>65.9</v>
      </c>
      <c r="G134" s="4">
        <v>316.0</v>
      </c>
      <c r="H134" s="4">
        <v>3.2</v>
      </c>
      <c r="I134" s="4">
        <v>37.3</v>
      </c>
      <c r="J134" s="4">
        <v>180.8</v>
      </c>
      <c r="K134" s="4">
        <v>4.9</v>
      </c>
      <c r="L134" s="4">
        <v>2.3</v>
      </c>
      <c r="M134" s="4">
        <v>70.3</v>
      </c>
      <c r="N134" s="4">
        <v>496.8</v>
      </c>
      <c r="O134" s="4">
        <v>7.1</v>
      </c>
      <c r="P134" s="4">
        <v>12.8</v>
      </c>
      <c r="Q134" s="4">
        <v>8.3</v>
      </c>
      <c r="R134" s="4">
        <v>1.1</v>
      </c>
      <c r="S134" s="4">
        <v>22.2</v>
      </c>
      <c r="T134" s="4">
        <v>8.1</v>
      </c>
      <c r="U134" s="4">
        <v>80.3</v>
      </c>
      <c r="V134" s="4">
        <v>0.6</v>
      </c>
      <c r="W134" s="4">
        <v>0.8</v>
      </c>
      <c r="X134" s="4">
        <v>1.3</v>
      </c>
    </row>
    <row r="135" ht="15.75" customHeight="1">
      <c r="A135" s="7" t="s">
        <v>203</v>
      </c>
      <c r="B135" s="4">
        <v>12.0</v>
      </c>
      <c r="C135" s="4">
        <v>44.1</v>
      </c>
      <c r="D135" s="4">
        <v>18.8</v>
      </c>
      <c r="E135" s="4">
        <v>28.8</v>
      </c>
      <c r="F135" s="4">
        <v>65.3</v>
      </c>
      <c r="G135" s="4">
        <v>251.1</v>
      </c>
      <c r="H135" s="4">
        <v>2.3</v>
      </c>
      <c r="I135" s="4">
        <v>44.9</v>
      </c>
      <c r="J135" s="4">
        <v>264.9</v>
      </c>
      <c r="K135" s="4">
        <v>5.9</v>
      </c>
      <c r="L135" s="4">
        <v>3.0</v>
      </c>
      <c r="M135" s="4">
        <v>73.8</v>
      </c>
      <c r="N135" s="4">
        <v>516.0</v>
      </c>
      <c r="O135" s="4">
        <v>7.0</v>
      </c>
      <c r="P135" s="4">
        <v>11.3</v>
      </c>
      <c r="Q135" s="4">
        <v>13.3</v>
      </c>
      <c r="R135" s="4">
        <v>1.8</v>
      </c>
      <c r="S135" s="4">
        <v>26.4</v>
      </c>
      <c r="T135" s="4">
        <v>5.9</v>
      </c>
      <c r="U135" s="4">
        <v>56.3</v>
      </c>
      <c r="V135" s="4">
        <v>0.6</v>
      </c>
      <c r="W135" s="4">
        <v>0.3</v>
      </c>
      <c r="X135" s="4">
        <v>0.9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